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reto frontier" sheetId="3" state="visible" r:id="rId3"/>
    <sheet xmlns:r="http://schemas.openxmlformats.org/officeDocument/2006/relationships" name="Carbon price sweep" sheetId="4" state="visible" r:id="rId4"/>
    <sheet xmlns:r="http://schemas.openxmlformats.org/officeDocument/2006/relationships" name="Network nodes" sheetId="5" state="visible" r:id="rId5"/>
    <sheet xmlns:r="http://schemas.openxmlformats.org/officeDocument/2006/relationships" name="Network flows" sheetId="6" state="visible" r:id="rId6"/>
    <sheet xmlns:r="http://schemas.openxmlformats.org/officeDocument/2006/relationships" name="Parameters" sheetId="7" state="visible" r:id="rId7"/>
    <sheet xmlns:r="http://schemas.openxmlformats.org/officeDocument/2006/relationships" name="Threshol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F4E79"/>
      <sz val="16"/>
    </font>
    <font>
      <b val="1"/>
      <color rgb="FF1F4E79"/>
      <sz val="12"/>
    </font>
    <font>
      <i val="1"/>
      <sz val="11"/>
    </font>
    <font>
      <b val="1"/>
      <sz val="11"/>
    </font>
    <font>
      <b val="1"/>
    </font>
    <font>
      <b val="1"/>
      <sz val="14"/>
    </font>
    <font>
      <b val="1"/>
      <sz val="12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frontier: cost vs emissions</a:t>
            </a:r>
          </a:p>
        </rich>
      </tx>
    </title>
    <plotArea>
      <lineChart>
        <grouping val="standard"/>
        <ser>
          <idx val="0"/>
          <order val="0"/>
          <tx>
            <strRef>
              <f>'Pareto frontier'!D1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'Pareto frontier'!$C$2:$C$13</f>
            </numRef>
          </cat>
          <val>
            <numRef>
              <f>'Pareto frontier'!$D$2:$D$13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(M RMB / year)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Emissions (tCO2 / year)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Emissions vs carbon price</a:t>
            </a:r>
          </a:p>
        </rich>
      </tx>
    </title>
    <plotArea>
      <lineChart>
        <grouping val="standard"/>
        <ser>
          <idx val="0"/>
          <order val="0"/>
          <tx>
            <strRef>
              <f>'Carbon price sweep'!C1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'Carbon price sweep'!$A$2:$A$42</f>
            </numRef>
          </cat>
          <val>
            <numRef>
              <f>'Carbon price sweep'!$C$2:$C$42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Carbon price (RMB / tCO2)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Emissions (tCO2 / year)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Modal share vs carbon price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'Carbon price sweep'!D1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'Carbon price sweep'!$A$2:$A$42</f>
            </numRef>
          </cat>
          <val>
            <numRef>
              <f>'Carbon price sweep'!$D$2:$D$42</f>
            </numRef>
          </val>
        </ser>
        <ser>
          <idx val="1"/>
          <order val="1"/>
          <tx>
            <strRef>
              <f>'Carbon price sweep'!E1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'Carbon price sweep'!$A$2:$A$42</f>
            </numRef>
          </cat>
          <val>
            <numRef>
              <f>'Carbon price sweep'!$E$2:$E$42</f>
            </numRef>
          </val>
        </ser>
        <ser>
          <idx val="2"/>
          <order val="2"/>
          <tx>
            <strRef>
              <f>'Carbon price sweep'!F1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'Carbon price sweep'!$A$2:$A$42</f>
            </numRef>
          </cat>
          <val>
            <numRef>
              <f>'Carbon price sweep'!$F$2:$F$42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Carbon price (RMB / tCO2)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tonne-kilometres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From Compliance to Competitive Edge</t>
        </is>
      </c>
    </row>
    <row r="2">
      <c r="A2" s="2" t="inlineStr">
        <is>
          <t>Green Supply Chain Network Design Under China's Dual Carbon Goals</t>
        </is>
      </c>
    </row>
    <row r="4">
      <c r="A4" s="3" t="inlineStr">
        <is>
          <t>Companion data workbook</t>
        </is>
      </c>
    </row>
    <row r="6">
      <c r="A6" s="4" t="inlineStr">
        <is>
          <t>Author</t>
        </is>
      </c>
      <c r="B6" t="inlineStr">
        <is>
          <t>Alex Kuhne</t>
        </is>
      </c>
    </row>
    <row r="7">
      <c r="A7" s="4" t="inlineStr">
        <is>
          <t>Course</t>
        </is>
      </c>
      <c r="B7" t="inlineStr">
        <is>
          <t>Logistics and Supply Chain Management (Prof. Zhang Jun, Tongji University)</t>
        </is>
      </c>
    </row>
    <row r="8">
      <c r="A8" s="4" t="inlineStr">
        <is>
          <t>Generated</t>
        </is>
      </c>
      <c r="B8" t="inlineStr">
        <is>
          <t>2026-06-06</t>
        </is>
      </c>
    </row>
    <row r="9">
      <c r="A9" s="4" t="inlineStr">
        <is>
          <t>Source code</t>
        </is>
      </c>
      <c r="B9" t="inlineStr">
        <is>
          <t>lscm_milp/ (Python package, PuLP MILP)</t>
        </is>
      </c>
    </row>
    <row r="11">
      <c r="A11" s="2" t="inlineStr">
        <is>
          <t>Contents</t>
        </is>
      </c>
    </row>
    <row r="12">
      <c r="A12" s="5" t="inlineStr">
        <is>
          <t>Summary</t>
        </is>
      </c>
      <c r="B12" t="inlineStr">
        <is>
          <t>Headline scenario table with cost-minimum, first-threshold, low-carbon and emissions-minimum configurations.</t>
        </is>
      </c>
    </row>
    <row r="13">
      <c r="A13" s="5" t="inlineStr">
        <is>
          <t>Pareto frontier</t>
        </is>
      </c>
      <c r="B13" t="inlineStr">
        <is>
          <t>Epsilon-constraint sweep (12 points) with cost, emissions, modal shares, and an embedded chart.</t>
        </is>
      </c>
    </row>
    <row r="14">
      <c r="A14" s="5" t="inlineStr">
        <is>
          <t>Carbon price sweep</t>
        </is>
      </c>
      <c r="B14" t="inlineStr">
        <is>
          <t>Weighted-sum sweep across 41 carbon prices from 0 to 1000 RMB/tCO2, with two embedded charts.</t>
        </is>
      </c>
    </row>
    <row r="15">
      <c r="A15" s="5" t="inlineStr">
        <is>
          <t>Network nodes</t>
        </is>
      </c>
      <c r="B15" t="inlineStr">
        <is>
          <t>Coordinates of suppliers, production sites, DCs, and demand regions, plus active status per zone.</t>
        </is>
      </c>
    </row>
    <row r="16">
      <c r="A16" s="5" t="inlineStr">
        <is>
          <t>Network flows</t>
        </is>
      </c>
      <c r="B16" t="inlineStr">
        <is>
          <t>Flow volumes and modes on every active arc in each zone.</t>
        </is>
      </c>
    </row>
    <row r="17">
      <c r="A17" s="5" t="inlineStr">
        <is>
          <t>Parameters</t>
        </is>
      </c>
      <c r="B17" t="inlineStr">
        <is>
          <t>Calibration block: capacities, emission factors, transport costs, rail handling cost, distance thresholds.</t>
        </is>
      </c>
    </row>
    <row r="18">
      <c r="A18" s="5" t="inlineStr">
        <is>
          <t>Thresholds</t>
        </is>
      </c>
      <c r="B18" t="inlineStr">
        <is>
          <t>Structural-jump detection output from the carbon-price sweep.</t>
        </is>
      </c>
    </row>
    <row r="21">
      <c r="A21" s="2" t="inlineStr">
        <is>
          <t>Key result</t>
        </is>
      </c>
    </row>
    <row r="22" ht="40" customHeight="1">
      <c r="A22" s="6" t="inlineStr">
        <is>
          <t>First structural threshold at p = 25 RMB/tCO2: modal shift from 26% road / 74% rail to 11% / 89%, emissions -20%, cost +0.02%. Current China ETS spot (Jan 2026) sits at 76 RMB/tCO2.</t>
        </is>
      </c>
    </row>
  </sheetData>
  <mergeCells count="1">
    <mergeCell ref="A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7" customWidth="1" min="3" max="3"/>
    <col width="23" customWidth="1" min="4" max="4"/>
    <col width="20" customWidth="1" min="5" max="5"/>
    <col width="25" customWidth="1" min="6" max="6"/>
    <col width="26" customWidth="1" min="7" max="7"/>
    <col width="40" customWidth="1" min="8" max="8"/>
    <col width="12" customWidth="1" min="9" max="9"/>
    <col width="12" customWidth="1" min="10" max="10"/>
    <col width="11" customWidth="1" min="11" max="11"/>
  </cols>
  <sheetData>
    <row r="1">
      <c r="A1" s="7" t="inlineStr">
        <is>
          <t>LSCM Final — MILP Results Summary</t>
        </is>
      </c>
    </row>
    <row r="2"/>
    <row r="3">
      <c r="A3" t="inlineStr">
        <is>
          <t>First structural threshold</t>
        </is>
      </c>
      <c r="B3" t="n">
        <v>25</v>
      </c>
      <c r="C3" t="inlineStr">
        <is>
          <t>RMB / tCO2</t>
        </is>
      </c>
    </row>
    <row r="4">
      <c r="A4" t="inlineStr">
        <is>
          <t>Current China ETS spot (Jan 2026)</t>
        </is>
      </c>
      <c r="B4" t="n">
        <v>76</v>
      </c>
      <c r="C4" t="inlineStr">
        <is>
          <t>RMB / tCO2</t>
        </is>
      </c>
    </row>
    <row r="5">
      <c r="A5" t="inlineStr">
        <is>
          <t>Total demand modelled</t>
        </is>
      </c>
      <c r="B5" t="n">
        <v>500000</v>
      </c>
      <c r="C5" t="inlineStr">
        <is>
          <t>t / year</t>
        </is>
      </c>
    </row>
    <row r="6"/>
    <row r="7">
      <c r="A7" t="inlineStr">
        <is>
          <t>Representative configurations on the Pareto frontier</t>
        </is>
      </c>
    </row>
    <row r="8">
      <c r="A8" s="8" t="n"/>
    </row>
    <row r="9">
      <c r="A9" s="9" t="inlineStr">
        <is>
          <t>Scenario</t>
        </is>
      </c>
      <c r="B9" s="9" t="inlineStr">
        <is>
          <t>Carbon price (RMB/tCO2)</t>
        </is>
      </c>
      <c r="C9" s="9" t="inlineStr">
        <is>
          <t>Cost (RMB/year)</t>
        </is>
      </c>
      <c r="D9" s="9" t="inlineStr">
        <is>
          <t>Emissions (tCO2/year)</t>
        </is>
      </c>
      <c r="E9" s="9" t="inlineStr">
        <is>
          <t>Δ cost vs base (%)</t>
        </is>
      </c>
      <c r="F9" s="9" t="inlineStr">
        <is>
          <t>Δ emissions vs base (%)</t>
        </is>
      </c>
      <c r="G9" s="9" t="inlineStr">
        <is>
          <t>Production sites</t>
        </is>
      </c>
      <c r="H9" s="9" t="inlineStr">
        <is>
          <t>DCs</t>
        </is>
      </c>
      <c r="I9" s="9" t="inlineStr">
        <is>
          <t>Road share</t>
        </is>
      </c>
      <c r="J9" s="9" t="inlineStr">
        <is>
          <t>Rail share</t>
        </is>
      </c>
      <c r="K9" s="9" t="inlineStr">
        <is>
          <t>NEV share</t>
        </is>
      </c>
    </row>
    <row r="10">
      <c r="A10" t="inlineStr">
        <is>
          <t>Cost minimum</t>
        </is>
      </c>
      <c r="B10" t="n">
        <v>0</v>
      </c>
      <c r="C10" t="n">
        <v>387406535.25</v>
      </c>
      <c r="D10" t="n">
        <v>19584.369</v>
      </c>
      <c r="E10" t="n">
        <v>0</v>
      </c>
      <c r="F10" t="n">
        <v>0</v>
      </c>
      <c r="G10" t="inlineStr">
        <is>
          <t>j1_Suzhou</t>
        </is>
      </c>
      <c r="H10" t="inlineStr">
        <is>
          <t>k1_Shanghai + k2_Chengdu + k3_Shenzhen</t>
        </is>
      </c>
      <c r="I10" t="n">
        <v>0.265</v>
      </c>
      <c r="J10" t="n">
        <v>0.735</v>
      </c>
      <c r="K10" t="n">
        <v>0</v>
      </c>
    </row>
    <row r="11">
      <c r="A11" t="inlineStr">
        <is>
          <t>After first threshold (p=25)</t>
        </is>
      </c>
      <c r="B11" t="n">
        <v>25</v>
      </c>
      <c r="C11" t="n">
        <v>387473812.05</v>
      </c>
      <c r="D11" t="n">
        <v>15658.066</v>
      </c>
      <c r="E11" t="n">
        <v>0.02</v>
      </c>
      <c r="F11" t="n">
        <v>20.05</v>
      </c>
      <c r="G11" t="inlineStr">
        <is>
          <t>j1_Suzhou</t>
        </is>
      </c>
      <c r="H11" t="inlineStr">
        <is>
          <t>k1_Shanghai + k2_Chengdu + k3_Shenzhen</t>
        </is>
      </c>
      <c r="I11" t="n">
        <v>0.1096</v>
      </c>
      <c r="J11" t="n">
        <v>0.8904</v>
      </c>
      <c r="K11" t="n">
        <v>0</v>
      </c>
    </row>
    <row r="12">
      <c r="A12" t="inlineStr">
        <is>
          <t>Low-carbon network (epsilon)</t>
        </is>
      </c>
      <c r="B12" t="n">
        <v>0</v>
      </c>
      <c r="C12" t="n">
        <v>389653690.68</v>
      </c>
      <c r="D12" t="n">
        <v>14480.932</v>
      </c>
      <c r="E12" t="n">
        <v>0.58</v>
      </c>
      <c r="F12" t="n">
        <v>26.06</v>
      </c>
      <c r="G12" t="inlineStr">
        <is>
          <t>j1_Suzhou</t>
        </is>
      </c>
      <c r="H12" t="inlineStr">
        <is>
          <t>k1_Shanghai + k2_Chengdu + k3_Shenzhen</t>
        </is>
      </c>
      <c r="I12" t="n">
        <v>0.0361</v>
      </c>
      <c r="J12" t="n">
        <v>0.8904</v>
      </c>
      <c r="K12" t="n">
        <v>0.0735</v>
      </c>
    </row>
    <row r="13">
      <c r="A13" t="inlineStr">
        <is>
          <t>Emissions minimum (epsilon)</t>
        </is>
      </c>
      <c r="B13" t="n">
        <v>0</v>
      </c>
      <c r="C13" t="n">
        <v>457945986.21</v>
      </c>
      <c r="D13" t="n">
        <v>13970.588</v>
      </c>
      <c r="E13" t="n">
        <v>18.21</v>
      </c>
      <c r="F13" t="n">
        <v>28.66</v>
      </c>
      <c r="G13" t="inlineStr">
        <is>
          <t>j1_Suzhou + j2_Chongqing</t>
        </is>
      </c>
      <c r="H13" t="inlineStr">
        <is>
          <t>k1_Shanghai + k2_Chengdu + k3_Shenzhen</t>
        </is>
      </c>
      <c r="I13" t="n">
        <v>0.0253</v>
      </c>
      <c r="J13" t="n">
        <v>0.8292</v>
      </c>
      <c r="K13" t="n">
        <v>0.1454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9" customWidth="1" min="3" max="3"/>
    <col width="23" customWidth="1" min="4" max="4"/>
    <col width="26" customWidth="1" min="5" max="5"/>
    <col width="40" customWidth="1" min="6" max="6"/>
    <col width="12" customWidth="1" min="7" max="7"/>
    <col width="12" customWidth="1" min="8" max="8"/>
    <col width="11" customWidth="1" min="9" max="9"/>
  </cols>
  <sheetData>
    <row r="1">
      <c r="A1" s="9" t="inlineStr">
        <is>
          <t>Index</t>
        </is>
      </c>
      <c r="B1" s="9" t="inlineStr">
        <is>
          <t>Label</t>
        </is>
      </c>
      <c r="C1" s="9" t="inlineStr">
        <is>
          <t>Cost (M RMB/year)</t>
        </is>
      </c>
      <c r="D1" s="9" t="inlineStr">
        <is>
          <t>Emissions (tCO2/year)</t>
        </is>
      </c>
      <c r="E1" s="9" t="inlineStr">
        <is>
          <t>Open sites</t>
        </is>
      </c>
      <c r="F1" s="9" t="inlineStr">
        <is>
          <t>Open DCs</t>
        </is>
      </c>
      <c r="G1" s="9" t="inlineStr">
        <is>
          <t>Road share</t>
        </is>
      </c>
      <c r="H1" s="9" t="inlineStr">
        <is>
          <t>Rail share</t>
        </is>
      </c>
      <c r="I1" s="9" t="inlineStr">
        <is>
          <t>NEV share</t>
        </is>
      </c>
    </row>
    <row r="2">
      <c r="A2" t="n">
        <v>0</v>
      </c>
      <c r="B2" t="inlineStr">
        <is>
          <t>emissions_min</t>
        </is>
      </c>
      <c r="C2" t="n">
        <v>457.946</v>
      </c>
      <c r="D2" t="n">
        <v>13970.588</v>
      </c>
      <c r="E2" t="inlineStr">
        <is>
          <t>j1_Suzhou + j2_Chongqing</t>
        </is>
      </c>
      <c r="F2" t="inlineStr">
        <is>
          <t>k1_Shanghai + k2_Chengdu + k3_Shenzhen</t>
        </is>
      </c>
      <c r="G2" t="n">
        <v>0.0253</v>
      </c>
      <c r="H2" t="n">
        <v>0.8292</v>
      </c>
      <c r="I2" t="n">
        <v>0.1454</v>
      </c>
    </row>
    <row r="3">
      <c r="A3" t="n">
        <v>1</v>
      </c>
      <c r="B3" t="inlineStr">
        <is>
          <t>eps_1</t>
        </is>
      </c>
      <c r="C3" t="n">
        <v>389.654</v>
      </c>
      <c r="D3" t="n">
        <v>14480.932</v>
      </c>
      <c r="E3" t="inlineStr">
        <is>
          <t>j1_Suzhou</t>
        </is>
      </c>
      <c r="F3" t="inlineStr">
        <is>
          <t>k1_Shanghai + k2_Chengdu + k3_Shenzhen</t>
        </is>
      </c>
      <c r="G3" t="n">
        <v>0.0361</v>
      </c>
      <c r="H3" t="n">
        <v>0.8904</v>
      </c>
      <c r="I3" t="n">
        <v>0.0735</v>
      </c>
    </row>
    <row r="4">
      <c r="A4" t="n">
        <v>2</v>
      </c>
      <c r="B4" t="inlineStr">
        <is>
          <t>eps_2</t>
        </is>
      </c>
      <c r="C4" t="n">
        <v>388.709</v>
      </c>
      <c r="D4" t="n">
        <v>14991.276</v>
      </c>
      <c r="E4" t="inlineStr">
        <is>
          <t>j1_Suzhou</t>
        </is>
      </c>
      <c r="F4" t="inlineStr">
        <is>
          <t>k1_Shanghai + k2_Chengdu + k3_Shenzhen</t>
        </is>
      </c>
      <c r="G4" t="n">
        <v>0.0679</v>
      </c>
      <c r="H4" t="n">
        <v>0.8904</v>
      </c>
      <c r="I4" t="n">
        <v>0.0416</v>
      </c>
    </row>
    <row r="5">
      <c r="A5" t="n">
        <v>3</v>
      </c>
      <c r="B5" t="inlineStr">
        <is>
          <t>eps_3</t>
        </is>
      </c>
      <c r="C5" t="n">
        <v>387.764</v>
      </c>
      <c r="D5" t="n">
        <v>15501.619</v>
      </c>
      <c r="E5" t="inlineStr">
        <is>
          <t>j1_Suzhou</t>
        </is>
      </c>
      <c r="F5" t="inlineStr">
        <is>
          <t>k1_Shanghai + k2_Chengdu + k3_Shenzhen</t>
        </is>
      </c>
      <c r="G5" t="n">
        <v>0.0998</v>
      </c>
      <c r="H5" t="n">
        <v>0.8904</v>
      </c>
      <c r="I5" t="n">
        <v>0.0098</v>
      </c>
    </row>
    <row r="6">
      <c r="A6" t="n">
        <v>4</v>
      </c>
      <c r="B6" t="inlineStr">
        <is>
          <t>eps_4</t>
        </is>
      </c>
      <c r="C6" t="n">
        <v>387.468</v>
      </c>
      <c r="D6" t="n">
        <v>16011.963</v>
      </c>
      <c r="E6" t="inlineStr">
        <is>
          <t>j1_Suzhou</t>
        </is>
      </c>
      <c r="F6" t="inlineStr">
        <is>
          <t>k1_Shanghai + k2_Chengdu + k3_Shenzhen</t>
        </is>
      </c>
      <c r="G6" t="n">
        <v>0.1237</v>
      </c>
      <c r="H6" t="n">
        <v>0.8763</v>
      </c>
      <c r="I6" t="n">
        <v>0</v>
      </c>
    </row>
    <row r="7">
      <c r="A7" t="n">
        <v>5</v>
      </c>
      <c r="B7" t="inlineStr">
        <is>
          <t>eps_5</t>
        </is>
      </c>
      <c r="C7" t="n">
        <v>387.459</v>
      </c>
      <c r="D7" t="n">
        <v>16522.307</v>
      </c>
      <c r="E7" t="inlineStr">
        <is>
          <t>j1_Suzhou</t>
        </is>
      </c>
      <c r="F7" t="inlineStr">
        <is>
          <t>k1_Shanghai + k2_Chengdu + k3_Shenzhen</t>
        </is>
      </c>
      <c r="G7" t="n">
        <v>0.1441</v>
      </c>
      <c r="H7" t="n">
        <v>0.8559</v>
      </c>
      <c r="I7" t="n">
        <v>0</v>
      </c>
    </row>
    <row r="8">
      <c r="A8" t="n">
        <v>6</v>
      </c>
      <c r="B8" t="inlineStr">
        <is>
          <t>eps_6</t>
        </is>
      </c>
      <c r="C8" t="n">
        <v>387.45</v>
      </c>
      <c r="D8" t="n">
        <v>17032.65</v>
      </c>
      <c r="E8" t="inlineStr">
        <is>
          <t>j1_Suzhou</t>
        </is>
      </c>
      <c r="F8" t="inlineStr">
        <is>
          <t>k1_Shanghai + k2_Chengdu + k3_Shenzhen</t>
        </is>
      </c>
      <c r="G8" t="n">
        <v>0.1644</v>
      </c>
      <c r="H8" t="n">
        <v>0.8356</v>
      </c>
      <c r="I8" t="n">
        <v>0</v>
      </c>
    </row>
    <row r="9">
      <c r="A9" t="n">
        <v>7</v>
      </c>
      <c r="B9" t="inlineStr">
        <is>
          <t>eps_7</t>
        </is>
      </c>
      <c r="C9" t="n">
        <v>387.442</v>
      </c>
      <c r="D9" t="n">
        <v>17542.994</v>
      </c>
      <c r="E9" t="inlineStr">
        <is>
          <t>j1_Suzhou</t>
        </is>
      </c>
      <c r="F9" t="inlineStr">
        <is>
          <t>k1_Shanghai + k2_Chengdu + k3_Shenzhen</t>
        </is>
      </c>
      <c r="G9" t="n">
        <v>0.1846</v>
      </c>
      <c r="H9" t="n">
        <v>0.8154</v>
      </c>
      <c r="I9" t="n">
        <v>0</v>
      </c>
    </row>
    <row r="10">
      <c r="A10" t="n">
        <v>8</v>
      </c>
      <c r="B10" t="inlineStr">
        <is>
          <t>eps_8</t>
        </is>
      </c>
      <c r="C10" t="n">
        <v>387.433</v>
      </c>
      <c r="D10" t="n">
        <v>18053.338</v>
      </c>
      <c r="E10" t="inlineStr">
        <is>
          <t>j1_Suzhou</t>
        </is>
      </c>
      <c r="F10" t="inlineStr">
        <is>
          <t>k1_Shanghai + k2_Chengdu + k3_Shenzhen</t>
        </is>
      </c>
      <c r="G10" t="n">
        <v>0.2048</v>
      </c>
      <c r="H10" t="n">
        <v>0.7952</v>
      </c>
      <c r="I10" t="n">
        <v>0</v>
      </c>
    </row>
    <row r="11">
      <c r="A11" t="n">
        <v>9</v>
      </c>
      <c r="B11" t="inlineStr">
        <is>
          <t>eps_9</t>
        </is>
      </c>
      <c r="C11" t="n">
        <v>387.424</v>
      </c>
      <c r="D11" t="n">
        <v>18563.682</v>
      </c>
      <c r="E11" t="inlineStr">
        <is>
          <t>j1_Suzhou</t>
        </is>
      </c>
      <c r="F11" t="inlineStr">
        <is>
          <t>k1_Shanghai + k2_Chengdu + k3_Shenzhen</t>
        </is>
      </c>
      <c r="G11" t="n">
        <v>0.2249</v>
      </c>
      <c r="H11" t="n">
        <v>0.7751</v>
      </c>
      <c r="I11" t="n">
        <v>0</v>
      </c>
    </row>
    <row r="12">
      <c r="A12" t="n">
        <v>10</v>
      </c>
      <c r="B12" t="inlineStr">
        <is>
          <t>eps_10</t>
        </is>
      </c>
      <c r="C12" t="n">
        <v>387.415</v>
      </c>
      <c r="D12" t="n">
        <v>19074.025</v>
      </c>
      <c r="E12" t="inlineStr">
        <is>
          <t>j1_Suzhou</t>
        </is>
      </c>
      <c r="F12" t="inlineStr">
        <is>
          <t>k1_Shanghai + k2_Chengdu + k3_Shenzhen</t>
        </is>
      </c>
      <c r="G12" t="n">
        <v>0.245</v>
      </c>
      <c r="H12" t="n">
        <v>0.755</v>
      </c>
      <c r="I12" t="n">
        <v>0</v>
      </c>
    </row>
    <row r="13">
      <c r="A13" t="n">
        <v>11</v>
      </c>
      <c r="B13" t="inlineStr">
        <is>
          <t>cost_min</t>
        </is>
      </c>
      <c r="C13" t="n">
        <v>387.407</v>
      </c>
      <c r="D13" t="n">
        <v>19584.369</v>
      </c>
      <c r="E13" t="inlineStr">
        <is>
          <t>j1_Suzhou</t>
        </is>
      </c>
      <c r="F13" t="inlineStr">
        <is>
          <t>k1_Shanghai + k2_Chengdu + k3_Shenzhen</t>
        </is>
      </c>
      <c r="G13" t="n">
        <v>0.265</v>
      </c>
      <c r="H13" t="n">
        <v>0.735</v>
      </c>
      <c r="I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23" customWidth="1" min="3" max="3"/>
    <col width="12" customWidth="1" min="4" max="4"/>
    <col width="12" customWidth="1" min="5" max="5"/>
    <col width="11" customWidth="1" min="6" max="6"/>
    <col width="12" customWidth="1" min="7" max="7"/>
    <col width="40" customWidth="1" min="8" max="8"/>
  </cols>
  <sheetData>
    <row r="1">
      <c r="A1" s="9" t="inlineStr">
        <is>
          <t>Carbon price (RMB/tCO2)</t>
        </is>
      </c>
      <c r="B1" s="9" t="inlineStr">
        <is>
          <t>Cost (M RMB/year)</t>
        </is>
      </c>
      <c r="C1" s="9" t="inlineStr">
        <is>
          <t>Emissions (tCO2/year)</t>
        </is>
      </c>
      <c r="D1" s="9" t="inlineStr">
        <is>
          <t>Road share</t>
        </is>
      </c>
      <c r="E1" s="9" t="inlineStr">
        <is>
          <t>Rail share</t>
        </is>
      </c>
      <c r="F1" s="9" t="inlineStr">
        <is>
          <t>NEV share</t>
        </is>
      </c>
      <c r="G1" s="9" t="inlineStr">
        <is>
          <t>Open sites</t>
        </is>
      </c>
      <c r="H1" s="9" t="inlineStr">
        <is>
          <t>Open DCs</t>
        </is>
      </c>
    </row>
    <row r="2">
      <c r="A2" t="n">
        <v>0</v>
      </c>
      <c r="B2" t="n">
        <v>387.407</v>
      </c>
      <c r="C2" t="n">
        <v>19584.369</v>
      </c>
      <c r="D2" t="n">
        <v>0.265</v>
      </c>
      <c r="E2" t="n">
        <v>0.735</v>
      </c>
      <c r="F2" t="n">
        <v>0</v>
      </c>
      <c r="G2" t="inlineStr">
        <is>
          <t>j1_Suzhou</t>
        </is>
      </c>
      <c r="H2" t="inlineStr">
        <is>
          <t>k1_Shanghai + k2_Chengdu + k3_Shenzhen</t>
        </is>
      </c>
    </row>
    <row r="3">
      <c r="A3" t="n">
        <v>25</v>
      </c>
      <c r="B3" t="n">
        <v>387.474</v>
      </c>
      <c r="C3" t="n">
        <v>15658.066</v>
      </c>
      <c r="D3" t="n">
        <v>0.1096</v>
      </c>
      <c r="E3" t="n">
        <v>0.8904</v>
      </c>
      <c r="F3" t="n">
        <v>0</v>
      </c>
      <c r="G3" t="inlineStr">
        <is>
          <t>j1_Suzhou</t>
        </is>
      </c>
      <c r="H3" t="inlineStr">
        <is>
          <t>k1_Shanghai + k2_Chengdu + k3_Shenzhen</t>
        </is>
      </c>
    </row>
    <row r="4">
      <c r="A4" t="n">
        <v>50</v>
      </c>
      <c r="B4" t="n">
        <v>387.474</v>
      </c>
      <c r="C4" t="n">
        <v>15658.066</v>
      </c>
      <c r="D4" t="n">
        <v>0.1096</v>
      </c>
      <c r="E4" t="n">
        <v>0.8904</v>
      </c>
      <c r="F4" t="n">
        <v>0</v>
      </c>
      <c r="G4" t="inlineStr">
        <is>
          <t>j1_Suzhou</t>
        </is>
      </c>
      <c r="H4" t="inlineStr">
        <is>
          <t>k1_Shanghai + k2_Chengdu + k3_Shenzhen</t>
        </is>
      </c>
    </row>
    <row r="5">
      <c r="A5" t="n">
        <v>75</v>
      </c>
      <c r="B5" t="n">
        <v>387.474</v>
      </c>
      <c r="C5" t="n">
        <v>15658.066</v>
      </c>
      <c r="D5" t="n">
        <v>0.1096</v>
      </c>
      <c r="E5" t="n">
        <v>0.8904</v>
      </c>
      <c r="F5" t="n">
        <v>0</v>
      </c>
      <c r="G5" t="inlineStr">
        <is>
          <t>j1_Suzhou</t>
        </is>
      </c>
      <c r="H5" t="inlineStr">
        <is>
          <t>k1_Shanghai + k2_Chengdu + k3_Shenzhen</t>
        </is>
      </c>
    </row>
    <row r="6">
      <c r="A6" t="n">
        <v>100</v>
      </c>
      <c r="B6" t="n">
        <v>387.474</v>
      </c>
      <c r="C6" t="n">
        <v>15658.066</v>
      </c>
      <c r="D6" t="n">
        <v>0.1096</v>
      </c>
      <c r="E6" t="n">
        <v>0.8904</v>
      </c>
      <c r="F6" t="n">
        <v>0</v>
      </c>
      <c r="G6" t="inlineStr">
        <is>
          <t>j1_Suzhou</t>
        </is>
      </c>
      <c r="H6" t="inlineStr">
        <is>
          <t>k1_Shanghai + k2_Chengdu + k3_Shenzhen</t>
        </is>
      </c>
    </row>
    <row r="7">
      <c r="A7" t="n">
        <v>125</v>
      </c>
      <c r="B7" t="n">
        <v>387.474</v>
      </c>
      <c r="C7" t="n">
        <v>15658.066</v>
      </c>
      <c r="D7" t="n">
        <v>0.1096</v>
      </c>
      <c r="E7" t="n">
        <v>0.8904</v>
      </c>
      <c r="F7" t="n">
        <v>0</v>
      </c>
      <c r="G7" t="inlineStr">
        <is>
          <t>j1_Suzhou</t>
        </is>
      </c>
      <c r="H7" t="inlineStr">
        <is>
          <t>k1_Shanghai + k2_Chengdu + k3_Shenzhen</t>
        </is>
      </c>
    </row>
    <row r="8">
      <c r="A8" t="n">
        <v>150</v>
      </c>
      <c r="B8" t="n">
        <v>387.474</v>
      </c>
      <c r="C8" t="n">
        <v>15658.066</v>
      </c>
      <c r="D8" t="n">
        <v>0.1096</v>
      </c>
      <c r="E8" t="n">
        <v>0.8904</v>
      </c>
      <c r="F8" t="n">
        <v>0</v>
      </c>
      <c r="G8" t="inlineStr">
        <is>
          <t>j1_Suzhou</t>
        </is>
      </c>
      <c r="H8" t="inlineStr">
        <is>
          <t>k1_Shanghai + k2_Chengdu + k3_Shenzhen</t>
        </is>
      </c>
    </row>
    <row r="9">
      <c r="A9" t="n">
        <v>175</v>
      </c>
      <c r="B9" t="n">
        <v>387.474</v>
      </c>
      <c r="C9" t="n">
        <v>15658.066</v>
      </c>
      <c r="D9" t="n">
        <v>0.1096</v>
      </c>
      <c r="E9" t="n">
        <v>0.8904</v>
      </c>
      <c r="F9" t="n">
        <v>0</v>
      </c>
      <c r="G9" t="inlineStr">
        <is>
          <t>j1_Suzhou</t>
        </is>
      </c>
      <c r="H9" t="inlineStr">
        <is>
          <t>k1_Shanghai + k2_Chengdu + k3_Shenzhen</t>
        </is>
      </c>
    </row>
    <row r="10">
      <c r="A10" t="n">
        <v>200</v>
      </c>
      <c r="B10" t="n">
        <v>387.474</v>
      </c>
      <c r="C10" t="n">
        <v>15658.066</v>
      </c>
      <c r="D10" t="n">
        <v>0.1096</v>
      </c>
      <c r="E10" t="n">
        <v>0.8904</v>
      </c>
      <c r="F10" t="n">
        <v>0</v>
      </c>
      <c r="G10" t="inlineStr">
        <is>
          <t>j1_Suzhou</t>
        </is>
      </c>
      <c r="H10" t="inlineStr">
        <is>
          <t>k1_Shanghai + k2_Chengdu + k3_Shenzhen</t>
        </is>
      </c>
    </row>
    <row r="11">
      <c r="A11" t="n">
        <v>225</v>
      </c>
      <c r="B11" t="n">
        <v>387.474</v>
      </c>
      <c r="C11" t="n">
        <v>15658.066</v>
      </c>
      <c r="D11" t="n">
        <v>0.1096</v>
      </c>
      <c r="E11" t="n">
        <v>0.8904</v>
      </c>
      <c r="F11" t="n">
        <v>0</v>
      </c>
      <c r="G11" t="inlineStr">
        <is>
          <t>j1_Suzhou</t>
        </is>
      </c>
      <c r="H11" t="inlineStr">
        <is>
          <t>k1_Shanghai + k2_Chengdu + k3_Shenzhen</t>
        </is>
      </c>
    </row>
    <row r="12">
      <c r="A12" t="n">
        <v>250</v>
      </c>
      <c r="B12" t="n">
        <v>387.474</v>
      </c>
      <c r="C12" t="n">
        <v>15658.066</v>
      </c>
      <c r="D12" t="n">
        <v>0.1096</v>
      </c>
      <c r="E12" t="n">
        <v>0.8904</v>
      </c>
      <c r="F12" t="n">
        <v>0</v>
      </c>
      <c r="G12" t="inlineStr">
        <is>
          <t>j1_Suzhou</t>
        </is>
      </c>
      <c r="H12" t="inlineStr">
        <is>
          <t>k1_Shanghai + k2_Chengdu + k3_Shenzhen</t>
        </is>
      </c>
    </row>
    <row r="13">
      <c r="A13" t="n">
        <v>275</v>
      </c>
      <c r="B13" t="n">
        <v>387.474</v>
      </c>
      <c r="C13" t="n">
        <v>15658.066</v>
      </c>
      <c r="D13" t="n">
        <v>0.1096</v>
      </c>
      <c r="E13" t="n">
        <v>0.8904</v>
      </c>
      <c r="F13" t="n">
        <v>0</v>
      </c>
      <c r="G13" t="inlineStr">
        <is>
          <t>j1_Suzhou</t>
        </is>
      </c>
      <c r="H13" t="inlineStr">
        <is>
          <t>k1_Shanghai + k2_Chengdu + k3_Shenzhen</t>
        </is>
      </c>
    </row>
    <row r="14">
      <c r="A14" t="n">
        <v>300</v>
      </c>
      <c r="B14" t="n">
        <v>387.474</v>
      </c>
      <c r="C14" t="n">
        <v>15658.066</v>
      </c>
      <c r="D14" t="n">
        <v>0.1096</v>
      </c>
      <c r="E14" t="n">
        <v>0.8904</v>
      </c>
      <c r="F14" t="n">
        <v>0</v>
      </c>
      <c r="G14" t="inlineStr">
        <is>
          <t>j1_Suzhou</t>
        </is>
      </c>
      <c r="H14" t="inlineStr">
        <is>
          <t>k1_Shanghai + k2_Chengdu + k3_Shenzhen</t>
        </is>
      </c>
    </row>
    <row r="15">
      <c r="A15" t="n">
        <v>325</v>
      </c>
      <c r="B15" t="n">
        <v>387.474</v>
      </c>
      <c r="C15" t="n">
        <v>15658.066</v>
      </c>
      <c r="D15" t="n">
        <v>0.1096</v>
      </c>
      <c r="E15" t="n">
        <v>0.8904</v>
      </c>
      <c r="F15" t="n">
        <v>0</v>
      </c>
      <c r="G15" t="inlineStr">
        <is>
          <t>j1_Suzhou</t>
        </is>
      </c>
      <c r="H15" t="inlineStr">
        <is>
          <t>k1_Shanghai + k2_Chengdu + k3_Shenzhen</t>
        </is>
      </c>
    </row>
    <row r="16">
      <c r="A16" t="n">
        <v>350</v>
      </c>
      <c r="B16" t="n">
        <v>387.474</v>
      </c>
      <c r="C16" t="n">
        <v>15658.066</v>
      </c>
      <c r="D16" t="n">
        <v>0.1096</v>
      </c>
      <c r="E16" t="n">
        <v>0.8904</v>
      </c>
      <c r="F16" t="n">
        <v>0</v>
      </c>
      <c r="G16" t="inlineStr">
        <is>
          <t>j1_Suzhou</t>
        </is>
      </c>
      <c r="H16" t="inlineStr">
        <is>
          <t>k1_Shanghai + k2_Chengdu + k3_Shenzhen</t>
        </is>
      </c>
    </row>
    <row r="17">
      <c r="A17" t="n">
        <v>375</v>
      </c>
      <c r="B17" t="n">
        <v>387.474</v>
      </c>
      <c r="C17" t="n">
        <v>15658.066</v>
      </c>
      <c r="D17" t="n">
        <v>0.1096</v>
      </c>
      <c r="E17" t="n">
        <v>0.8904</v>
      </c>
      <c r="F17" t="n">
        <v>0</v>
      </c>
      <c r="G17" t="inlineStr">
        <is>
          <t>j1_Suzhou</t>
        </is>
      </c>
      <c r="H17" t="inlineStr">
        <is>
          <t>k1_Shanghai + k2_Chengdu + k3_Shenzhen</t>
        </is>
      </c>
    </row>
    <row r="18">
      <c r="A18" t="n">
        <v>400</v>
      </c>
      <c r="B18" t="n">
        <v>387.474</v>
      </c>
      <c r="C18" t="n">
        <v>15658.066</v>
      </c>
      <c r="D18" t="n">
        <v>0.1096</v>
      </c>
      <c r="E18" t="n">
        <v>0.8904</v>
      </c>
      <c r="F18" t="n">
        <v>0</v>
      </c>
      <c r="G18" t="inlineStr">
        <is>
          <t>j1_Suzhou</t>
        </is>
      </c>
      <c r="H18" t="inlineStr">
        <is>
          <t>k1_Shanghai + k2_Chengdu + k3_Shenzhen</t>
        </is>
      </c>
    </row>
    <row r="19">
      <c r="A19" t="n">
        <v>425</v>
      </c>
      <c r="B19" t="n">
        <v>387.474</v>
      </c>
      <c r="C19" t="n">
        <v>15658.066</v>
      </c>
      <c r="D19" t="n">
        <v>0.1096</v>
      </c>
      <c r="E19" t="n">
        <v>0.8904</v>
      </c>
      <c r="F19" t="n">
        <v>0</v>
      </c>
      <c r="G19" t="inlineStr">
        <is>
          <t>j1_Suzhou</t>
        </is>
      </c>
      <c r="H19" t="inlineStr">
        <is>
          <t>k1_Shanghai + k2_Chengdu + k3_Shenzhen</t>
        </is>
      </c>
    </row>
    <row r="20">
      <c r="A20" t="n">
        <v>450</v>
      </c>
      <c r="B20" t="n">
        <v>387.474</v>
      </c>
      <c r="C20" t="n">
        <v>15658.066</v>
      </c>
      <c r="D20" t="n">
        <v>0.1096</v>
      </c>
      <c r="E20" t="n">
        <v>0.8904</v>
      </c>
      <c r="F20" t="n">
        <v>0</v>
      </c>
      <c r="G20" t="inlineStr">
        <is>
          <t>j1_Suzhou</t>
        </is>
      </c>
      <c r="H20" t="inlineStr">
        <is>
          <t>k1_Shanghai + k2_Chengdu + k3_Shenzhen</t>
        </is>
      </c>
    </row>
    <row r="21">
      <c r="A21" t="n">
        <v>475</v>
      </c>
      <c r="B21" t="n">
        <v>387.474</v>
      </c>
      <c r="C21" t="n">
        <v>15658.066</v>
      </c>
      <c r="D21" t="n">
        <v>0.1096</v>
      </c>
      <c r="E21" t="n">
        <v>0.8904</v>
      </c>
      <c r="F21" t="n">
        <v>0</v>
      </c>
      <c r="G21" t="inlineStr">
        <is>
          <t>j1_Suzhou</t>
        </is>
      </c>
      <c r="H21" t="inlineStr">
        <is>
          <t>k1_Shanghai + k2_Chengdu + k3_Shenzhen</t>
        </is>
      </c>
    </row>
    <row r="22">
      <c r="A22" t="n">
        <v>500</v>
      </c>
      <c r="B22" t="n">
        <v>387.474</v>
      </c>
      <c r="C22" t="n">
        <v>15658.066</v>
      </c>
      <c r="D22" t="n">
        <v>0.1096</v>
      </c>
      <c r="E22" t="n">
        <v>0.8904</v>
      </c>
      <c r="F22" t="n">
        <v>0</v>
      </c>
      <c r="G22" t="inlineStr">
        <is>
          <t>j1_Suzhou</t>
        </is>
      </c>
      <c r="H22" t="inlineStr">
        <is>
          <t>k1_Shanghai + k2_Chengdu + k3_Shenzhen</t>
        </is>
      </c>
    </row>
    <row r="23">
      <c r="A23" t="n">
        <v>525</v>
      </c>
      <c r="B23" t="n">
        <v>387.474</v>
      </c>
      <c r="C23" t="n">
        <v>15658.066</v>
      </c>
      <c r="D23" t="n">
        <v>0.1096</v>
      </c>
      <c r="E23" t="n">
        <v>0.8904</v>
      </c>
      <c r="F23" t="n">
        <v>0</v>
      </c>
      <c r="G23" t="inlineStr">
        <is>
          <t>j1_Suzhou</t>
        </is>
      </c>
      <c r="H23" t="inlineStr">
        <is>
          <t>k1_Shanghai + k2_Chengdu + k3_Shenzhen</t>
        </is>
      </c>
    </row>
    <row r="24">
      <c r="A24" t="n">
        <v>550</v>
      </c>
      <c r="B24" t="n">
        <v>387.474</v>
      </c>
      <c r="C24" t="n">
        <v>15658.066</v>
      </c>
      <c r="D24" t="n">
        <v>0.1096</v>
      </c>
      <c r="E24" t="n">
        <v>0.8904</v>
      </c>
      <c r="F24" t="n">
        <v>0</v>
      </c>
      <c r="G24" t="inlineStr">
        <is>
          <t>j1_Suzhou</t>
        </is>
      </c>
      <c r="H24" t="inlineStr">
        <is>
          <t>k1_Shanghai + k2_Chengdu + k3_Shenzhen</t>
        </is>
      </c>
    </row>
    <row r="25">
      <c r="A25" t="n">
        <v>575</v>
      </c>
      <c r="B25" t="n">
        <v>387.474</v>
      </c>
      <c r="C25" t="n">
        <v>15658.066</v>
      </c>
      <c r="D25" t="n">
        <v>0.1096</v>
      </c>
      <c r="E25" t="n">
        <v>0.8904</v>
      </c>
      <c r="F25" t="n">
        <v>0</v>
      </c>
      <c r="G25" t="inlineStr">
        <is>
          <t>j1_Suzhou</t>
        </is>
      </c>
      <c r="H25" t="inlineStr">
        <is>
          <t>k1_Shanghai + k2_Chengdu + k3_Shenzhen</t>
        </is>
      </c>
    </row>
    <row r="26">
      <c r="A26" t="n">
        <v>600</v>
      </c>
      <c r="B26" t="n">
        <v>387.474</v>
      </c>
      <c r="C26" t="n">
        <v>15658.066</v>
      </c>
      <c r="D26" t="n">
        <v>0.1096</v>
      </c>
      <c r="E26" t="n">
        <v>0.8904</v>
      </c>
      <c r="F26" t="n">
        <v>0</v>
      </c>
      <c r="G26" t="inlineStr">
        <is>
          <t>j1_Suzhou</t>
        </is>
      </c>
      <c r="H26" t="inlineStr">
        <is>
          <t>k1_Shanghai + k2_Chengdu + k3_Shenzhen</t>
        </is>
      </c>
    </row>
    <row r="27">
      <c r="A27" t="n">
        <v>625</v>
      </c>
      <c r="B27" t="n">
        <v>387.474</v>
      </c>
      <c r="C27" t="n">
        <v>15658.066</v>
      </c>
      <c r="D27" t="n">
        <v>0.1096</v>
      </c>
      <c r="E27" t="n">
        <v>0.8904</v>
      </c>
      <c r="F27" t="n">
        <v>0</v>
      </c>
      <c r="G27" t="inlineStr">
        <is>
          <t>j1_Suzhou</t>
        </is>
      </c>
      <c r="H27" t="inlineStr">
        <is>
          <t>k1_Shanghai + k2_Chengdu + k3_Shenzhen</t>
        </is>
      </c>
    </row>
    <row r="28">
      <c r="A28" t="n">
        <v>650</v>
      </c>
      <c r="B28" t="n">
        <v>387.474</v>
      </c>
      <c r="C28" t="n">
        <v>15658.066</v>
      </c>
      <c r="D28" t="n">
        <v>0.1096</v>
      </c>
      <c r="E28" t="n">
        <v>0.8904</v>
      </c>
      <c r="F28" t="n">
        <v>0</v>
      </c>
      <c r="G28" t="inlineStr">
        <is>
          <t>j1_Suzhou</t>
        </is>
      </c>
      <c r="H28" t="inlineStr">
        <is>
          <t>k1_Shanghai + k2_Chengdu + k3_Shenzhen</t>
        </is>
      </c>
    </row>
    <row r="29">
      <c r="A29" t="n">
        <v>675</v>
      </c>
      <c r="B29" t="n">
        <v>387.474</v>
      </c>
      <c r="C29" t="n">
        <v>15658.066</v>
      </c>
      <c r="D29" t="n">
        <v>0.1096</v>
      </c>
      <c r="E29" t="n">
        <v>0.8904</v>
      </c>
      <c r="F29" t="n">
        <v>0</v>
      </c>
      <c r="G29" t="inlineStr">
        <is>
          <t>j1_Suzhou</t>
        </is>
      </c>
      <c r="H29" t="inlineStr">
        <is>
          <t>k1_Shanghai + k2_Chengdu + k3_Shenzhen</t>
        </is>
      </c>
    </row>
    <row r="30">
      <c r="A30" t="n">
        <v>700</v>
      </c>
      <c r="B30" t="n">
        <v>387.474</v>
      </c>
      <c r="C30" t="n">
        <v>15658.066</v>
      </c>
      <c r="D30" t="n">
        <v>0.1096</v>
      </c>
      <c r="E30" t="n">
        <v>0.8904</v>
      </c>
      <c r="F30" t="n">
        <v>0</v>
      </c>
      <c r="G30" t="inlineStr">
        <is>
          <t>j1_Suzhou</t>
        </is>
      </c>
      <c r="H30" t="inlineStr">
        <is>
          <t>k1_Shanghai + k2_Chengdu + k3_Shenzhen</t>
        </is>
      </c>
    </row>
    <row r="31">
      <c r="A31" t="n">
        <v>725</v>
      </c>
      <c r="B31" t="n">
        <v>387.474</v>
      </c>
      <c r="C31" t="n">
        <v>15658.066</v>
      </c>
      <c r="D31" t="n">
        <v>0.1096</v>
      </c>
      <c r="E31" t="n">
        <v>0.8904</v>
      </c>
      <c r="F31" t="n">
        <v>0</v>
      </c>
      <c r="G31" t="inlineStr">
        <is>
          <t>j1_Suzhou</t>
        </is>
      </c>
      <c r="H31" t="inlineStr">
        <is>
          <t>k1_Shanghai + k2_Chengdu + k3_Shenzhen</t>
        </is>
      </c>
    </row>
    <row r="32">
      <c r="A32" t="n">
        <v>750</v>
      </c>
      <c r="B32" t="n">
        <v>387.474</v>
      </c>
      <c r="C32" t="n">
        <v>15658.066</v>
      </c>
      <c r="D32" t="n">
        <v>0.1096</v>
      </c>
      <c r="E32" t="n">
        <v>0.8904</v>
      </c>
      <c r="F32" t="n">
        <v>0</v>
      </c>
      <c r="G32" t="inlineStr">
        <is>
          <t>j1_Suzhou</t>
        </is>
      </c>
      <c r="H32" t="inlineStr">
        <is>
          <t>k1_Shanghai + k2_Chengdu + k3_Shenzhen</t>
        </is>
      </c>
    </row>
    <row r="33">
      <c r="A33" t="n">
        <v>775</v>
      </c>
      <c r="B33" t="n">
        <v>387.474</v>
      </c>
      <c r="C33" t="n">
        <v>15658.066</v>
      </c>
      <c r="D33" t="n">
        <v>0.1096</v>
      </c>
      <c r="E33" t="n">
        <v>0.8904</v>
      </c>
      <c r="F33" t="n">
        <v>0</v>
      </c>
      <c r="G33" t="inlineStr">
        <is>
          <t>j1_Suzhou</t>
        </is>
      </c>
      <c r="H33" t="inlineStr">
        <is>
          <t>k1_Shanghai + k2_Chengdu + k3_Shenzhen</t>
        </is>
      </c>
    </row>
    <row r="34">
      <c r="A34" t="n">
        <v>800</v>
      </c>
      <c r="B34" t="n">
        <v>387.474</v>
      </c>
      <c r="C34" t="n">
        <v>15658.066</v>
      </c>
      <c r="D34" t="n">
        <v>0.1096</v>
      </c>
      <c r="E34" t="n">
        <v>0.8904</v>
      </c>
      <c r="F34" t="n">
        <v>0</v>
      </c>
      <c r="G34" t="inlineStr">
        <is>
          <t>j1_Suzhou</t>
        </is>
      </c>
      <c r="H34" t="inlineStr">
        <is>
          <t>k1_Shanghai + k2_Chengdu + k3_Shenzhen</t>
        </is>
      </c>
    </row>
    <row r="35">
      <c r="A35" t="n">
        <v>825</v>
      </c>
      <c r="B35" t="n">
        <v>387.474</v>
      </c>
      <c r="C35" t="n">
        <v>15658.066</v>
      </c>
      <c r="D35" t="n">
        <v>0.1096</v>
      </c>
      <c r="E35" t="n">
        <v>0.8904</v>
      </c>
      <c r="F35" t="n">
        <v>0</v>
      </c>
      <c r="G35" t="inlineStr">
        <is>
          <t>j1_Suzhou</t>
        </is>
      </c>
      <c r="H35" t="inlineStr">
        <is>
          <t>k1_Shanghai + k2_Chengdu + k3_Shenzhen</t>
        </is>
      </c>
    </row>
    <row r="36">
      <c r="A36" t="n">
        <v>850</v>
      </c>
      <c r="B36" t="n">
        <v>387.474</v>
      </c>
      <c r="C36" t="n">
        <v>15658.066</v>
      </c>
      <c r="D36" t="n">
        <v>0.1096</v>
      </c>
      <c r="E36" t="n">
        <v>0.8904</v>
      </c>
      <c r="F36" t="n">
        <v>0</v>
      </c>
      <c r="G36" t="inlineStr">
        <is>
          <t>j1_Suzhou</t>
        </is>
      </c>
      <c r="H36" t="inlineStr">
        <is>
          <t>k1_Shanghai + k2_Chengdu + k3_Shenzhen</t>
        </is>
      </c>
    </row>
    <row r="37">
      <c r="A37" t="n">
        <v>875</v>
      </c>
      <c r="B37" t="n">
        <v>387.474</v>
      </c>
      <c r="C37" t="n">
        <v>15658.066</v>
      </c>
      <c r="D37" t="n">
        <v>0.1096</v>
      </c>
      <c r="E37" t="n">
        <v>0.8904</v>
      </c>
      <c r="F37" t="n">
        <v>0</v>
      </c>
      <c r="G37" t="inlineStr">
        <is>
          <t>j1_Suzhou</t>
        </is>
      </c>
      <c r="H37" t="inlineStr">
        <is>
          <t>k1_Shanghai + k2_Chengdu + k3_Shenzhen</t>
        </is>
      </c>
    </row>
    <row r="38">
      <c r="A38" t="n">
        <v>900</v>
      </c>
      <c r="B38" t="n">
        <v>387.474</v>
      </c>
      <c r="C38" t="n">
        <v>15658.066</v>
      </c>
      <c r="D38" t="n">
        <v>0.1096</v>
      </c>
      <c r="E38" t="n">
        <v>0.8904</v>
      </c>
      <c r="F38" t="n">
        <v>0</v>
      </c>
      <c r="G38" t="inlineStr">
        <is>
          <t>j1_Suzhou</t>
        </is>
      </c>
      <c r="H38" t="inlineStr">
        <is>
          <t>k1_Shanghai + k2_Chengdu + k3_Shenzhen</t>
        </is>
      </c>
    </row>
    <row r="39">
      <c r="A39" t="n">
        <v>925</v>
      </c>
      <c r="B39" t="n">
        <v>387.474</v>
      </c>
      <c r="C39" t="n">
        <v>15658.066</v>
      </c>
      <c r="D39" t="n">
        <v>0.1096</v>
      </c>
      <c r="E39" t="n">
        <v>0.8904</v>
      </c>
      <c r="F39" t="n">
        <v>0</v>
      </c>
      <c r="G39" t="inlineStr">
        <is>
          <t>j1_Suzhou</t>
        </is>
      </c>
      <c r="H39" t="inlineStr">
        <is>
          <t>k1_Shanghai + k2_Chengdu + k3_Shenzhen</t>
        </is>
      </c>
    </row>
    <row r="40">
      <c r="A40" t="n">
        <v>950</v>
      </c>
      <c r="B40" t="n">
        <v>387.474</v>
      </c>
      <c r="C40" t="n">
        <v>15658.066</v>
      </c>
      <c r="D40" t="n">
        <v>0.1096</v>
      </c>
      <c r="E40" t="n">
        <v>0.8904</v>
      </c>
      <c r="F40" t="n">
        <v>0</v>
      </c>
      <c r="G40" t="inlineStr">
        <is>
          <t>j1_Suzhou</t>
        </is>
      </c>
      <c r="H40" t="inlineStr">
        <is>
          <t>k1_Shanghai + k2_Chengdu + k3_Shenzhen</t>
        </is>
      </c>
    </row>
    <row r="41">
      <c r="A41" t="n">
        <v>975</v>
      </c>
      <c r="B41" t="n">
        <v>387.474</v>
      </c>
      <c r="C41" t="n">
        <v>15658.066</v>
      </c>
      <c r="D41" t="n">
        <v>0.1096</v>
      </c>
      <c r="E41" t="n">
        <v>0.8904</v>
      </c>
      <c r="F41" t="n">
        <v>0</v>
      </c>
      <c r="G41" t="inlineStr">
        <is>
          <t>j1_Suzhou</t>
        </is>
      </c>
      <c r="H41" t="inlineStr">
        <is>
          <t>k1_Shanghai + k2_Chengdu + k3_Shenzhen</t>
        </is>
      </c>
    </row>
    <row r="42">
      <c r="A42" t="n">
        <v>1000</v>
      </c>
      <c r="B42" t="n">
        <v>387.474</v>
      </c>
      <c r="C42" t="n">
        <v>15658.066</v>
      </c>
      <c r="D42" t="n">
        <v>0.1096</v>
      </c>
      <c r="E42" t="n">
        <v>0.8904</v>
      </c>
      <c r="F42" t="n">
        <v>0</v>
      </c>
      <c r="G42" t="inlineStr">
        <is>
          <t>j1_Suzhou</t>
        </is>
      </c>
      <c r="H42" t="inlineStr">
        <is>
          <t>k1_Shanghai + k2_Chengdu + k3_Shenzhen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1" customWidth="1" min="4" max="4"/>
    <col width="10" customWidth="1" min="5" max="5"/>
    <col width="15" customWidth="1" min="6" max="6"/>
    <col width="15" customWidth="1" min="7" max="7"/>
    <col width="15" customWidth="1" min="8" max="8"/>
  </cols>
  <sheetData>
    <row r="1">
      <c r="A1" s="9" t="inlineStr">
        <is>
          <t>Node ID</t>
        </is>
      </c>
      <c r="B1" s="9" t="inlineStr">
        <is>
          <t>Type</t>
        </is>
      </c>
      <c r="C1" s="9" t="inlineStr">
        <is>
          <t>Name</t>
        </is>
      </c>
      <c r="D1" s="9" t="inlineStr">
        <is>
          <t>Longitude</t>
        </is>
      </c>
      <c r="E1" s="9" t="inlineStr">
        <is>
          <t>Latitude</t>
        </is>
      </c>
      <c r="F1" s="9" t="inlineStr">
        <is>
          <t>Active Zone 1</t>
        </is>
      </c>
      <c r="G1" s="9" t="inlineStr">
        <is>
          <t>Active Zone 2</t>
        </is>
      </c>
      <c r="H1" s="9" t="inlineStr">
        <is>
          <t>Active Zone 3</t>
        </is>
      </c>
    </row>
    <row r="2">
      <c r="A2" t="inlineStr">
        <is>
          <t>i1_Guangzhou</t>
        </is>
      </c>
      <c r="B2" t="inlineStr">
        <is>
          <t>supplier</t>
        </is>
      </c>
      <c r="C2" t="inlineStr">
        <is>
          <t>Supplier · Guangzhou</t>
        </is>
      </c>
      <c r="D2" t="n">
        <v>113.27</v>
      </c>
      <c r="E2" t="n">
        <v>23.13</v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i2_Suzhou</t>
        </is>
      </c>
      <c r="B3" t="inlineStr">
        <is>
          <t>supplier</t>
        </is>
      </c>
      <c r="C3" t="inlineStr">
        <is>
          <t>Supplier · Yangtze</t>
        </is>
      </c>
      <c r="D3" t="n">
        <v>120.62</v>
      </c>
      <c r="E3" t="n">
        <v>31.32</v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i3_Tianjin</t>
        </is>
      </c>
      <c r="B4" t="inlineStr">
        <is>
          <t>supplier</t>
        </is>
      </c>
      <c r="C4" t="inlineStr">
        <is>
          <t>Supplier · Tianjin</t>
        </is>
      </c>
      <c r="D4" t="n">
        <v>117.2</v>
      </c>
      <c r="E4" t="n">
        <v>39.13</v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j1_Suzhou</t>
        </is>
      </c>
      <c r="B5" t="inlineStr">
        <is>
          <t>prod</t>
        </is>
      </c>
      <c r="C5" t="inlineStr">
        <is>
          <t>Production · Suzhou</t>
        </is>
      </c>
      <c r="D5" t="n">
        <v>120.62</v>
      </c>
      <c r="E5" t="n">
        <v>31.32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j2_Chongqing</t>
        </is>
      </c>
      <c r="B6" t="inlineStr">
        <is>
          <t>prod</t>
        </is>
      </c>
      <c r="C6" t="inlineStr">
        <is>
          <t>Production · Chongqing</t>
        </is>
      </c>
      <c r="D6" t="n">
        <v>106.55</v>
      </c>
      <c r="E6" t="n">
        <v>29.56</v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</row>
    <row r="7">
      <c r="A7" t="inlineStr">
        <is>
          <t>k1_Shanghai</t>
        </is>
      </c>
      <c r="B7" t="inlineStr">
        <is>
          <t>dc</t>
        </is>
      </c>
      <c r="C7" t="inlineStr">
        <is>
          <t>DC · Shanghai</t>
        </is>
      </c>
      <c r="D7" t="n">
        <v>121.47</v>
      </c>
      <c r="E7" t="n">
        <v>31.23</v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k2_Chengdu</t>
        </is>
      </c>
      <c r="B8" t="inlineStr">
        <is>
          <t>dc</t>
        </is>
      </c>
      <c r="C8" t="inlineStr">
        <is>
          <t>DC · Chengdu</t>
        </is>
      </c>
      <c r="D8" t="n">
        <v>104.07</v>
      </c>
      <c r="E8" t="n">
        <v>30.67</v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k3_Shenzhen</t>
        </is>
      </c>
      <c r="B9" t="inlineStr">
        <is>
          <t>dc</t>
        </is>
      </c>
      <c r="C9" t="inlineStr">
        <is>
          <t>DC · Shenzhen</t>
        </is>
      </c>
      <c r="D9" t="n">
        <v>114.06</v>
      </c>
      <c r="E9" t="n">
        <v>22.55</v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l1_East</t>
        </is>
      </c>
      <c r="B10" t="inlineStr">
        <is>
          <t>demand</t>
        </is>
      </c>
      <c r="C10" t="inlineStr">
        <is>
          <t>Demand · East</t>
        </is>
      </c>
      <c r="D10" t="n">
        <v>121</v>
      </c>
      <c r="E10" t="n">
        <v>31</v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l2_South</t>
        </is>
      </c>
      <c r="B11" t="inlineStr">
        <is>
          <t>demand</t>
        </is>
      </c>
      <c r="C11" t="inlineStr">
        <is>
          <t>Demand · South</t>
        </is>
      </c>
      <c r="D11" t="n">
        <v>113.5</v>
      </c>
      <c r="E11" t="n">
        <v>23</v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l3_West</t>
        </is>
      </c>
      <c r="B12" t="inlineStr">
        <is>
          <t>demand</t>
        </is>
      </c>
      <c r="C12" t="inlineStr">
        <is>
          <t>Demand · West</t>
        </is>
      </c>
      <c r="D12" t="n">
        <v>104</v>
      </c>
      <c r="E12" t="n">
        <v>30.5</v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l4_North</t>
        </is>
      </c>
      <c r="B13" t="inlineStr">
        <is>
          <t>demand</t>
        </is>
      </c>
      <c r="C13" t="inlineStr">
        <is>
          <t>Demand · North</t>
        </is>
      </c>
      <c r="D13" t="n">
        <v>116.4</v>
      </c>
      <c r="E13" t="n">
        <v>39.9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</row>
    <row r="14">
      <c r="A14" t="inlineStr">
        <is>
          <t>l5_Central</t>
        </is>
      </c>
      <c r="B14" t="inlineStr">
        <is>
          <t>demand</t>
        </is>
      </c>
      <c r="C14" t="inlineStr">
        <is>
          <t>Demand · Central</t>
        </is>
      </c>
      <c r="D14" t="n">
        <v>114.3</v>
      </c>
      <c r="E14" t="n">
        <v>30.6</v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4" customWidth="1" min="3" max="3"/>
    <col width="14" customWidth="1" min="4" max="4"/>
    <col width="13" customWidth="1" min="5" max="5"/>
    <col width="20" customWidth="1" min="6" max="6"/>
    <col width="15" customWidth="1" min="7" max="7"/>
  </cols>
  <sheetData>
    <row r="1">
      <c r="A1" s="9" t="inlineStr">
        <is>
          <t>Zone</t>
        </is>
      </c>
      <c r="B1" s="9" t="inlineStr">
        <is>
          <t>Arc type</t>
        </is>
      </c>
      <c r="C1" s="9" t="inlineStr">
        <is>
          <t>Origin</t>
        </is>
      </c>
      <c r="D1" s="9" t="inlineStr">
        <is>
          <t>Destination</t>
        </is>
      </c>
      <c r="E1" s="9" t="inlineStr">
        <is>
          <t>Mode</t>
        </is>
      </c>
      <c r="F1" s="9" t="inlineStr">
        <is>
          <t>Flow (tonnes/year)</t>
        </is>
      </c>
      <c r="G1" s="9" t="inlineStr">
        <is>
          <t>Distance (km)</t>
        </is>
      </c>
    </row>
    <row r="2">
      <c r="A2" t="inlineStr">
        <is>
          <t>Zone 1 cost min</t>
        </is>
      </c>
      <c r="B2" t="inlineStr">
        <is>
          <t>supplier_to_prod</t>
        </is>
      </c>
      <c r="C2" t="inlineStr">
        <is>
          <t>i2_Suzhou</t>
        </is>
      </c>
      <c r="D2" t="inlineStr">
        <is>
          <t>j1_Suzhou</t>
        </is>
      </c>
      <c r="E2" t="inlineStr">
        <is>
          <t>road_diesel</t>
        </is>
      </c>
      <c r="F2" t="n">
        <v>500000</v>
      </c>
      <c r="G2" t="n">
        <v>0</v>
      </c>
    </row>
    <row r="3">
      <c r="A3" t="inlineStr">
        <is>
          <t>Zone 1 cost min</t>
        </is>
      </c>
      <c r="B3" t="inlineStr">
        <is>
          <t>prod_to_dc</t>
        </is>
      </c>
      <c r="C3" t="inlineStr">
        <is>
          <t>j1_Suzhou</t>
        </is>
      </c>
      <c r="D3" t="inlineStr">
        <is>
          <t>k1_Shanghai</t>
        </is>
      </c>
      <c r="E3" t="inlineStr">
        <is>
          <t>road_diesel</t>
        </is>
      </c>
      <c r="F3" t="n">
        <v>300000</v>
      </c>
      <c r="G3" t="n">
        <v>105.8</v>
      </c>
    </row>
    <row r="4">
      <c r="A4" t="inlineStr">
        <is>
          <t>Zone 1 cost min</t>
        </is>
      </c>
      <c r="B4" t="inlineStr">
        <is>
          <t>prod_to_dc</t>
        </is>
      </c>
      <c r="C4" t="inlineStr">
        <is>
          <t>j1_Suzhou</t>
        </is>
      </c>
      <c r="D4" t="inlineStr">
        <is>
          <t>k2_Chengdu</t>
        </is>
      </c>
      <c r="E4" t="inlineStr">
        <is>
          <t>rail</t>
        </is>
      </c>
      <c r="F4" t="n">
        <v>88165.60000000001</v>
      </c>
      <c r="G4" t="n">
        <v>1893.2</v>
      </c>
    </row>
    <row r="5">
      <c r="A5" t="inlineStr">
        <is>
          <t>Zone 1 cost min</t>
        </is>
      </c>
      <c r="B5" t="inlineStr">
        <is>
          <t>prod_to_dc</t>
        </is>
      </c>
      <c r="C5" t="inlineStr">
        <is>
          <t>j1_Suzhou</t>
        </is>
      </c>
      <c r="D5" t="inlineStr">
        <is>
          <t>k3_Shenzhen</t>
        </is>
      </c>
      <c r="E5" t="inlineStr">
        <is>
          <t>rail</t>
        </is>
      </c>
      <c r="F5" t="n">
        <v>111834.4</v>
      </c>
      <c r="G5" t="n">
        <v>1405.8</v>
      </c>
    </row>
    <row r="6">
      <c r="A6" t="inlineStr">
        <is>
          <t>Zone 1 cost min</t>
        </is>
      </c>
      <c r="B6" t="inlineStr">
        <is>
          <t>dc_to_demand</t>
        </is>
      </c>
      <c r="C6" t="inlineStr">
        <is>
          <t>k1_Shanghai</t>
        </is>
      </c>
      <c r="D6" t="inlineStr">
        <is>
          <t>l1_East</t>
        </is>
      </c>
      <c r="E6" t="inlineStr">
        <is>
          <t>road_diesel</t>
        </is>
      </c>
      <c r="F6" t="n">
        <v>102916.66</v>
      </c>
      <c r="G6" t="n">
        <v>67</v>
      </c>
    </row>
    <row r="7">
      <c r="A7" t="inlineStr">
        <is>
          <t>Zone 1 cost min</t>
        </is>
      </c>
      <c r="B7" t="inlineStr">
        <is>
          <t>dc_to_demand</t>
        </is>
      </c>
      <c r="C7" t="inlineStr">
        <is>
          <t>k1_Shanghai</t>
        </is>
      </c>
      <c r="D7" t="inlineStr">
        <is>
          <t>l4_North</t>
        </is>
      </c>
      <c r="E7" t="inlineStr">
        <is>
          <t>rail</t>
        </is>
      </c>
      <c r="F7" t="n">
        <v>91707.49000000001</v>
      </c>
      <c r="G7" t="n">
        <v>1280.5</v>
      </c>
    </row>
    <row r="8">
      <c r="A8" t="inlineStr">
        <is>
          <t>Zone 1 cost min</t>
        </is>
      </c>
      <c r="B8" t="inlineStr">
        <is>
          <t>dc_to_demand</t>
        </is>
      </c>
      <c r="C8" t="inlineStr">
        <is>
          <t>k1_Shanghai</t>
        </is>
      </c>
      <c r="D8" t="inlineStr">
        <is>
          <t>l5_Central</t>
        </is>
      </c>
      <c r="E8" t="inlineStr">
        <is>
          <t>road_diesel</t>
        </is>
      </c>
      <c r="F8" t="n">
        <v>105375.85</v>
      </c>
      <c r="G8" t="n">
        <v>893.7</v>
      </c>
    </row>
    <row r="9">
      <c r="A9" t="inlineStr">
        <is>
          <t>Zone 1 cost min</t>
        </is>
      </c>
      <c r="B9" t="inlineStr">
        <is>
          <t>dc_to_demand</t>
        </is>
      </c>
      <c r="C9" t="inlineStr">
        <is>
          <t>k2_Chengdu</t>
        </is>
      </c>
      <c r="D9" t="inlineStr">
        <is>
          <t>l3_West</t>
        </is>
      </c>
      <c r="E9" t="inlineStr">
        <is>
          <t>road_diesel</t>
        </is>
      </c>
      <c r="F9" t="n">
        <v>88165.60000000001</v>
      </c>
      <c r="G9" t="n">
        <v>26.1</v>
      </c>
    </row>
    <row r="10">
      <c r="A10" t="inlineStr">
        <is>
          <t>Zone 1 cost min</t>
        </is>
      </c>
      <c r="B10" t="inlineStr">
        <is>
          <t>dc_to_demand</t>
        </is>
      </c>
      <c r="C10" t="inlineStr">
        <is>
          <t>k3_Shenzhen</t>
        </is>
      </c>
      <c r="D10" t="inlineStr">
        <is>
          <t>l2_South</t>
        </is>
      </c>
      <c r="E10" t="inlineStr">
        <is>
          <t>road_diesel</t>
        </is>
      </c>
      <c r="F10" t="n">
        <v>99619.24000000001</v>
      </c>
      <c r="G10" t="n">
        <v>99</v>
      </c>
    </row>
    <row r="11">
      <c r="A11" t="inlineStr">
        <is>
          <t>Zone 1 cost min</t>
        </is>
      </c>
      <c r="B11" t="inlineStr">
        <is>
          <t>dc_to_demand</t>
        </is>
      </c>
      <c r="C11" t="inlineStr">
        <is>
          <t>k3_Shenzhen</t>
        </is>
      </c>
      <c r="D11" t="inlineStr">
        <is>
          <t>l5_Central</t>
        </is>
      </c>
      <c r="E11" t="inlineStr">
        <is>
          <t>road_diesel</t>
        </is>
      </c>
      <c r="F11" t="n">
        <v>12215.17</v>
      </c>
      <c r="G11" t="n">
        <v>1164.1</v>
      </c>
    </row>
    <row r="12">
      <c r="A12" t="inlineStr">
        <is>
          <t>Zone 2 post threshold</t>
        </is>
      </c>
      <c r="B12" t="inlineStr">
        <is>
          <t>supplier_to_prod</t>
        </is>
      </c>
      <c r="C12" t="inlineStr">
        <is>
          <t>i2_Suzhou</t>
        </is>
      </c>
      <c r="D12" t="inlineStr">
        <is>
          <t>j1_Suzhou</t>
        </is>
      </c>
      <c r="E12" t="inlineStr">
        <is>
          <t>road_diesel</t>
        </is>
      </c>
      <c r="F12" t="n">
        <v>500000</v>
      </c>
      <c r="G12" t="n">
        <v>0</v>
      </c>
    </row>
    <row r="13">
      <c r="A13" t="inlineStr">
        <is>
          <t>Zone 2 post threshold</t>
        </is>
      </c>
      <c r="B13" t="inlineStr">
        <is>
          <t>prod_to_dc</t>
        </is>
      </c>
      <c r="C13" t="inlineStr">
        <is>
          <t>j1_Suzhou</t>
        </is>
      </c>
      <c r="D13" t="inlineStr">
        <is>
          <t>k1_Shanghai</t>
        </is>
      </c>
      <c r="E13" t="inlineStr">
        <is>
          <t>road_diesel</t>
        </is>
      </c>
      <c r="F13" t="n">
        <v>300000</v>
      </c>
      <c r="G13" t="n">
        <v>105.8</v>
      </c>
    </row>
    <row r="14">
      <c r="A14" t="inlineStr">
        <is>
          <t>Zone 2 post threshold</t>
        </is>
      </c>
      <c r="B14" t="inlineStr">
        <is>
          <t>prod_to_dc</t>
        </is>
      </c>
      <c r="C14" t="inlineStr">
        <is>
          <t>j1_Suzhou</t>
        </is>
      </c>
      <c r="D14" t="inlineStr">
        <is>
          <t>k2_Chengdu</t>
        </is>
      </c>
      <c r="E14" t="inlineStr">
        <is>
          <t>rail</t>
        </is>
      </c>
      <c r="F14" t="n">
        <v>88165.60000000001</v>
      </c>
      <c r="G14" t="n">
        <v>1893.2</v>
      </c>
    </row>
    <row r="15">
      <c r="A15" t="inlineStr">
        <is>
          <t>Zone 2 post threshold</t>
        </is>
      </c>
      <c r="B15" t="inlineStr">
        <is>
          <t>prod_to_dc</t>
        </is>
      </c>
      <c r="C15" t="inlineStr">
        <is>
          <t>j1_Suzhou</t>
        </is>
      </c>
      <c r="D15" t="inlineStr">
        <is>
          <t>k3_Shenzhen</t>
        </is>
      </c>
      <c r="E15" t="inlineStr">
        <is>
          <t>rail</t>
        </is>
      </c>
      <c r="F15" t="n">
        <v>111834.4</v>
      </c>
      <c r="G15" t="n">
        <v>1405.8</v>
      </c>
    </row>
    <row r="16">
      <c r="A16" t="inlineStr">
        <is>
          <t>Zone 2 post threshold</t>
        </is>
      </c>
      <c r="B16" t="inlineStr">
        <is>
          <t>dc_to_demand</t>
        </is>
      </c>
      <c r="C16" t="inlineStr">
        <is>
          <t>k1_Shanghai</t>
        </is>
      </c>
      <c r="D16" t="inlineStr">
        <is>
          <t>l1_East</t>
        </is>
      </c>
      <c r="E16" t="inlineStr">
        <is>
          <t>road_diesel</t>
        </is>
      </c>
      <c r="F16" t="n">
        <v>102916.66</v>
      </c>
      <c r="G16" t="n">
        <v>67</v>
      </c>
    </row>
    <row r="17">
      <c r="A17" t="inlineStr">
        <is>
          <t>Zone 2 post threshold</t>
        </is>
      </c>
      <c r="B17" t="inlineStr">
        <is>
          <t>dc_to_demand</t>
        </is>
      </c>
      <c r="C17" t="inlineStr">
        <is>
          <t>k1_Shanghai</t>
        </is>
      </c>
      <c r="D17" t="inlineStr">
        <is>
          <t>l4_North</t>
        </is>
      </c>
      <c r="E17" t="inlineStr">
        <is>
          <t>rail</t>
        </is>
      </c>
      <c r="F17" t="n">
        <v>91707.49000000001</v>
      </c>
      <c r="G17" t="n">
        <v>1280.5</v>
      </c>
    </row>
    <row r="18">
      <c r="A18" t="inlineStr">
        <is>
          <t>Zone 2 post threshold</t>
        </is>
      </c>
      <c r="B18" t="inlineStr">
        <is>
          <t>dc_to_demand</t>
        </is>
      </c>
      <c r="C18" t="inlineStr">
        <is>
          <t>k1_Shanghai</t>
        </is>
      </c>
      <c r="D18" t="inlineStr">
        <is>
          <t>l5_Central</t>
        </is>
      </c>
      <c r="E18" t="inlineStr">
        <is>
          <t>rail</t>
        </is>
      </c>
      <c r="F18" t="n">
        <v>105375.85</v>
      </c>
      <c r="G18" t="n">
        <v>824.9</v>
      </c>
    </row>
    <row r="19">
      <c r="A19" t="inlineStr">
        <is>
          <t>Zone 2 post threshold</t>
        </is>
      </c>
      <c r="B19" t="inlineStr">
        <is>
          <t>dc_to_demand</t>
        </is>
      </c>
      <c r="C19" t="inlineStr">
        <is>
          <t>k2_Chengdu</t>
        </is>
      </c>
      <c r="D19" t="inlineStr">
        <is>
          <t>l3_West</t>
        </is>
      </c>
      <c r="E19" t="inlineStr">
        <is>
          <t>road_diesel</t>
        </is>
      </c>
      <c r="F19" t="n">
        <v>88165.60000000001</v>
      </c>
      <c r="G19" t="n">
        <v>26.1</v>
      </c>
    </row>
    <row r="20">
      <c r="A20" t="inlineStr">
        <is>
          <t>Zone 2 post threshold</t>
        </is>
      </c>
      <c r="B20" t="inlineStr">
        <is>
          <t>dc_to_demand</t>
        </is>
      </c>
      <c r="C20" t="inlineStr">
        <is>
          <t>k3_Shenzhen</t>
        </is>
      </c>
      <c r="D20" t="inlineStr">
        <is>
          <t>l2_South</t>
        </is>
      </c>
      <c r="E20" t="inlineStr">
        <is>
          <t>road_diesel</t>
        </is>
      </c>
      <c r="F20" t="n">
        <v>99619.24000000001</v>
      </c>
      <c r="G20" t="n">
        <v>99</v>
      </c>
    </row>
    <row r="21">
      <c r="A21" t="inlineStr">
        <is>
          <t>Zone 2 post threshold</t>
        </is>
      </c>
      <c r="B21" t="inlineStr">
        <is>
          <t>dc_to_demand</t>
        </is>
      </c>
      <c r="C21" t="inlineStr">
        <is>
          <t>k3_Shenzhen</t>
        </is>
      </c>
      <c r="D21" t="inlineStr">
        <is>
          <t>l5_Central</t>
        </is>
      </c>
      <c r="E21" t="inlineStr">
        <is>
          <t>road_diesel</t>
        </is>
      </c>
      <c r="F21" t="n">
        <v>12215.17</v>
      </c>
      <c r="G21" t="n">
        <v>1164.1</v>
      </c>
    </row>
    <row r="22">
      <c r="A22" t="inlineStr">
        <is>
          <t>Zone 3 emissions min</t>
        </is>
      </c>
      <c r="B22" t="inlineStr">
        <is>
          <t>supplier_to_prod</t>
        </is>
      </c>
      <c r="C22" t="inlineStr">
        <is>
          <t>i1_Guangzhou</t>
        </is>
      </c>
      <c r="D22" t="inlineStr">
        <is>
          <t>j2_Chongqing</t>
        </is>
      </c>
      <c r="E22" t="inlineStr">
        <is>
          <t>rail</t>
        </is>
      </c>
      <c r="F22" t="n">
        <v>88165.60000000001</v>
      </c>
      <c r="G22" t="n">
        <v>1174.9</v>
      </c>
    </row>
    <row r="23">
      <c r="A23" t="inlineStr">
        <is>
          <t>Zone 3 emissions min</t>
        </is>
      </c>
      <c r="B23" t="inlineStr">
        <is>
          <t>supplier_to_prod</t>
        </is>
      </c>
      <c r="C23" t="inlineStr">
        <is>
          <t>i2_Suzhou</t>
        </is>
      </c>
      <c r="D23" t="inlineStr">
        <is>
          <t>j1_Suzhou</t>
        </is>
      </c>
      <c r="E23" t="inlineStr">
        <is>
          <t>road_diesel</t>
        </is>
      </c>
      <c r="F23" t="n">
        <v>411834.4</v>
      </c>
      <c r="G23" t="n">
        <v>0</v>
      </c>
    </row>
    <row r="24">
      <c r="A24" t="inlineStr">
        <is>
          <t>Zone 3 emissions min</t>
        </is>
      </c>
      <c r="B24" t="inlineStr">
        <is>
          <t>prod_to_dc</t>
        </is>
      </c>
      <c r="C24" t="inlineStr">
        <is>
          <t>j1_Suzhou</t>
        </is>
      </c>
      <c r="D24" t="inlineStr">
        <is>
          <t>k1_Shanghai</t>
        </is>
      </c>
      <c r="E24" t="inlineStr">
        <is>
          <t>nev_road</t>
        </is>
      </c>
      <c r="F24" t="n">
        <v>300000</v>
      </c>
      <c r="G24" t="n">
        <v>105.8</v>
      </c>
    </row>
    <row r="25">
      <c r="A25" t="inlineStr">
        <is>
          <t>Zone 3 emissions min</t>
        </is>
      </c>
      <c r="B25" t="inlineStr">
        <is>
          <t>prod_to_dc</t>
        </is>
      </c>
      <c r="C25" t="inlineStr">
        <is>
          <t>j1_Suzhou</t>
        </is>
      </c>
      <c r="D25" t="inlineStr">
        <is>
          <t>k3_Shenzhen</t>
        </is>
      </c>
      <c r="E25" t="inlineStr">
        <is>
          <t>rail</t>
        </is>
      </c>
      <c r="F25" t="n">
        <v>111834.4</v>
      </c>
      <c r="G25" t="n">
        <v>1405.8</v>
      </c>
    </row>
    <row r="26">
      <c r="A26" t="inlineStr">
        <is>
          <t>Zone 3 emissions min</t>
        </is>
      </c>
      <c r="B26" t="inlineStr">
        <is>
          <t>prod_to_dc</t>
        </is>
      </c>
      <c r="C26" t="inlineStr">
        <is>
          <t>j2_Chongqing</t>
        </is>
      </c>
      <c r="D26" t="inlineStr">
        <is>
          <t>k2_Chengdu</t>
        </is>
      </c>
      <c r="E26" t="inlineStr">
        <is>
          <t>nev_road</t>
        </is>
      </c>
      <c r="F26" t="n">
        <v>88165.60000000001</v>
      </c>
      <c r="G26" t="n">
        <v>349.1</v>
      </c>
    </row>
    <row r="27">
      <c r="A27" t="inlineStr">
        <is>
          <t>Zone 3 emissions min</t>
        </is>
      </c>
      <c r="B27" t="inlineStr">
        <is>
          <t>dc_to_demand</t>
        </is>
      </c>
      <c r="C27" t="inlineStr">
        <is>
          <t>k1_Shanghai</t>
        </is>
      </c>
      <c r="D27" t="inlineStr">
        <is>
          <t>l1_East</t>
        </is>
      </c>
      <c r="E27" t="inlineStr">
        <is>
          <t>nev_road</t>
        </is>
      </c>
      <c r="F27" t="n">
        <v>102916.66</v>
      </c>
      <c r="G27" t="n">
        <v>67</v>
      </c>
    </row>
    <row r="28">
      <c r="A28" t="inlineStr">
        <is>
          <t>Zone 3 emissions min</t>
        </is>
      </c>
      <c r="B28" t="inlineStr">
        <is>
          <t>dc_to_demand</t>
        </is>
      </c>
      <c r="C28" t="inlineStr">
        <is>
          <t>k1_Shanghai</t>
        </is>
      </c>
      <c r="D28" t="inlineStr">
        <is>
          <t>l4_North</t>
        </is>
      </c>
      <c r="E28" t="inlineStr">
        <is>
          <t>rail</t>
        </is>
      </c>
      <c r="F28" t="n">
        <v>91707.49000000001</v>
      </c>
      <c r="G28" t="n">
        <v>1280.5</v>
      </c>
    </row>
    <row r="29">
      <c r="A29" t="inlineStr">
        <is>
          <t>Zone 3 emissions min</t>
        </is>
      </c>
      <c r="B29" t="inlineStr">
        <is>
          <t>dc_to_demand</t>
        </is>
      </c>
      <c r="C29" t="inlineStr">
        <is>
          <t>k1_Shanghai</t>
        </is>
      </c>
      <c r="D29" t="inlineStr">
        <is>
          <t>l5_Central</t>
        </is>
      </c>
      <c r="E29" t="inlineStr">
        <is>
          <t>rail</t>
        </is>
      </c>
      <c r="F29" t="n">
        <v>105375.85</v>
      </c>
      <c r="G29" t="n">
        <v>824.9</v>
      </c>
    </row>
    <row r="30">
      <c r="A30" t="inlineStr">
        <is>
          <t>Zone 3 emissions min</t>
        </is>
      </c>
      <c r="B30" t="inlineStr">
        <is>
          <t>dc_to_demand</t>
        </is>
      </c>
      <c r="C30" t="inlineStr">
        <is>
          <t>k2_Chengdu</t>
        </is>
      </c>
      <c r="D30" t="inlineStr">
        <is>
          <t>l3_West</t>
        </is>
      </c>
      <c r="E30" t="inlineStr">
        <is>
          <t>nev_road</t>
        </is>
      </c>
      <c r="F30" t="n">
        <v>88165.60000000001</v>
      </c>
      <c r="G30" t="n">
        <v>26.1</v>
      </c>
    </row>
    <row r="31">
      <c r="A31" t="inlineStr">
        <is>
          <t>Zone 3 emissions min</t>
        </is>
      </c>
      <c r="B31" t="inlineStr">
        <is>
          <t>dc_to_demand</t>
        </is>
      </c>
      <c r="C31" t="inlineStr">
        <is>
          <t>k3_Shenzhen</t>
        </is>
      </c>
      <c r="D31" t="inlineStr">
        <is>
          <t>l2_South</t>
        </is>
      </c>
      <c r="E31" t="inlineStr">
        <is>
          <t>nev_road</t>
        </is>
      </c>
      <c r="F31" t="n">
        <v>99619.24000000001</v>
      </c>
      <c r="G31" t="n">
        <v>99</v>
      </c>
    </row>
    <row r="32">
      <c r="A32" t="inlineStr">
        <is>
          <t>Zone 3 emissions min</t>
        </is>
      </c>
      <c r="B32" t="inlineStr">
        <is>
          <t>dc_to_demand</t>
        </is>
      </c>
      <c r="C32" t="inlineStr">
        <is>
          <t>k3_Shenzhen</t>
        </is>
      </c>
      <c r="D32" t="inlineStr">
        <is>
          <t>l5_Central</t>
        </is>
      </c>
      <c r="E32" t="inlineStr">
        <is>
          <t>road_diesel</t>
        </is>
      </c>
      <c r="F32" t="n">
        <v>12215.17</v>
      </c>
      <c r="G32" t="n">
        <v>1164.1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40" customWidth="1" min="4" max="4"/>
  </cols>
  <sheetData>
    <row r="1">
      <c r="A1" s="9" t="inlineStr">
        <is>
          <t>Parameter</t>
        </is>
      </c>
      <c r="B1" s="9" t="inlineStr">
        <is>
          <t>Value</t>
        </is>
      </c>
      <c r="C1" s="9" t="inlineStr">
        <is>
          <t>Unit</t>
        </is>
      </c>
      <c r="D1" s="9" t="inlineStr">
        <is>
          <t>Note</t>
        </is>
      </c>
    </row>
    <row r="2">
      <c r="A2" t="inlineStr">
        <is>
          <t>Total demand</t>
        </is>
      </c>
      <c r="B2" t="n">
        <v>500000</v>
      </c>
      <c r="C2" t="inlineStr">
        <is>
          <t>t/year</t>
        </is>
      </c>
      <c r="D2" t="inlineStr"/>
    </row>
    <row r="3">
      <c r="A3" t="inlineStr">
        <is>
          <t>Production capacity per site</t>
        </is>
      </c>
      <c r="B3" t="n">
        <v>600000</v>
      </c>
      <c r="C3" t="inlineStr">
        <is>
          <t>t/year</t>
        </is>
      </c>
      <c r="D3" t="inlineStr"/>
    </row>
    <row r="4">
      <c r="A4" t="inlineStr">
        <is>
          <t>DC capacity per site</t>
        </is>
      </c>
      <c r="B4" t="n">
        <v>300000</v>
      </c>
      <c r="C4" t="inlineStr">
        <is>
          <t>t/year</t>
        </is>
      </c>
      <c r="D4" t="inlineStr"/>
    </row>
    <row r="5">
      <c r="A5" t="inlineStr">
        <is>
          <t>Rail variable cost</t>
        </is>
      </c>
      <c r="B5" t="n">
        <v>0.3</v>
      </c>
      <c r="C5" t="inlineStr">
        <is>
          <t>RMB/tkm</t>
        </is>
      </c>
      <c r="D5" t="inlineStr">
        <is>
          <t>GLEC China range for containerised non-bulk freight</t>
        </is>
      </c>
    </row>
    <row r="6">
      <c r="A6" t="inlineStr">
        <is>
          <t>Road diesel variable cost</t>
        </is>
      </c>
      <c r="B6" t="n">
        <v>0.5</v>
      </c>
      <c r="C6" t="inlineStr">
        <is>
          <t>RMB/tkm</t>
        </is>
      </c>
      <c r="D6" t="inlineStr"/>
    </row>
    <row r="7">
      <c r="A7" t="inlineStr">
        <is>
          <t>NEV road variable cost</t>
        </is>
      </c>
      <c r="B7" t="n">
        <v>0.55</v>
      </c>
      <c r="C7" t="inlineStr">
        <is>
          <t>RMB/tkm</t>
        </is>
      </c>
      <c r="D7" t="inlineStr"/>
    </row>
    <row r="8">
      <c r="A8" t="inlineStr">
        <is>
          <t>Rail handling cost</t>
        </is>
      </c>
      <c r="B8" t="n">
        <v>200</v>
      </c>
      <c r="C8" t="inlineStr">
        <is>
          <t>RMB/t</t>
        </is>
      </c>
      <c r="D8" t="inlineStr">
        <is>
          <t>Drayage + service-reliability premium</t>
        </is>
      </c>
    </row>
    <row r="9">
      <c r="A9" t="inlineStr">
        <is>
          <t>Rail minimum distance</t>
        </is>
      </c>
      <c r="B9" t="n">
        <v>500</v>
      </c>
      <c r="C9" t="inlineStr">
        <is>
          <t>km</t>
        </is>
      </c>
      <c r="D9" t="inlineStr"/>
    </row>
    <row r="10">
      <c r="A10" t="inlineStr">
        <is>
          <t>NEV maximum distance</t>
        </is>
      </c>
      <c r="B10" t="n">
        <v>500</v>
      </c>
      <c r="C10" t="inlineStr">
        <is>
          <t>km</t>
        </is>
      </c>
      <c r="D10" t="inlineStr"/>
    </row>
    <row r="11">
      <c r="A11" t="inlineStr">
        <is>
          <t>Emission factor road diesel</t>
        </is>
      </c>
      <c r="B11" t="n">
        <v>62</v>
      </c>
      <c r="C11" t="inlineStr">
        <is>
          <t>gCO2/tkm</t>
        </is>
      </c>
      <c r="D11" t="inlineStr">
        <is>
          <t>GLEC 2024</t>
        </is>
      </c>
    </row>
    <row r="12">
      <c r="A12" t="inlineStr">
        <is>
          <t>Emission factor rail</t>
        </is>
      </c>
      <c r="B12" t="n">
        <v>22</v>
      </c>
      <c r="C12" t="inlineStr">
        <is>
          <t>gCO2/tkm</t>
        </is>
      </c>
      <c r="D12" t="inlineStr">
        <is>
          <t>GLEC 2024</t>
        </is>
      </c>
    </row>
    <row r="13">
      <c r="A13" t="inlineStr">
        <is>
          <t>Emission factor NEV road</t>
        </is>
      </c>
      <c r="B13" t="n">
        <v>35</v>
      </c>
      <c r="C13" t="inlineStr">
        <is>
          <t>gCO2/tkm</t>
        </is>
      </c>
      <c r="D13" t="inlineStr">
        <is>
          <t>550 gCO2/kWh grid × 0.06 kWh/tkm</t>
        </is>
      </c>
    </row>
    <row r="14">
      <c r="A14" t="inlineStr">
        <is>
          <t>Carbon price grid step</t>
        </is>
      </c>
      <c r="B14" t="n">
        <v>25</v>
      </c>
      <c r="C14" t="inlineStr">
        <is>
          <t>RMB/tCO2</t>
        </is>
      </c>
      <c r="D14" t="inlineStr"/>
    </row>
    <row r="15">
      <c r="A15" t="inlineStr">
        <is>
          <t>Carbon price grid max</t>
        </is>
      </c>
      <c r="B15" t="n">
        <v>1000</v>
      </c>
      <c r="C15" t="inlineStr">
        <is>
          <t>RMB/tCO2</t>
        </is>
      </c>
      <c r="D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4" customWidth="1" min="3" max="3"/>
  </cols>
  <sheetData>
    <row r="1">
      <c r="A1" s="9" t="inlineStr">
        <is>
          <t>Index</t>
        </is>
      </c>
      <c r="B1" s="9" t="inlineStr">
        <is>
          <t>Carbon price (RMB/tCO2)</t>
        </is>
      </c>
      <c r="C1" s="9" t="inlineStr">
        <is>
          <t>Reasons</t>
        </is>
      </c>
    </row>
    <row r="2">
      <c r="A2" t="n">
        <v>1</v>
      </c>
      <c r="B2" t="n">
        <v>25</v>
      </c>
      <c r="C2" t="inlineStr">
        <is>
          <t>rail 0.74-&gt;0.89; road 0.26-&gt;0.11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2026-06-10T01:43:32Z</dcterms:created>
  <dcterms:modified xmlns:dcterms="http://purl.org/dc/terms/" xmlns:xsi="http://www.w3.org/2001/XMLSchema-instance" xsi:type="dcterms:W3CDTF">2026-06-10T01:43:32Z</dcterms:modified>
</cp:coreProperties>
</file>