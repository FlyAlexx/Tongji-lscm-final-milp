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lexanderkuhne/Documents/zweites-gehirn/02 Projekte/LSCM final/lscm_milp/outputs/report/"/>
    </mc:Choice>
  </mc:AlternateContent>
  <xr:revisionPtr revIDLastSave="0" documentId="13_ncr:1_{5B9320D9-267A-464E-800E-A894BB9AD9F9}" xr6:coauthVersionLast="47" xr6:coauthVersionMax="47" xr10:uidLastSave="{00000000-0000-0000-0000-000000000000}"/>
  <bookViews>
    <workbookView xWindow="0" yWindow="760" windowWidth="36000" windowHeight="22620" xr2:uid="{00000000-000D-0000-FFFF-FFFF00000000}"/>
  </bookViews>
  <sheets>
    <sheet name="Cover" sheetId="1" r:id="rId1"/>
    <sheet name="Summary" sheetId="2" r:id="rId2"/>
    <sheet name="Pareto frontier" sheetId="3" r:id="rId3"/>
    <sheet name="Carbon price sweep" sheetId="4" r:id="rId4"/>
    <sheet name="Network nodes" sheetId="5" r:id="rId5"/>
    <sheet name="Network flows" sheetId="6" r:id="rId6"/>
    <sheet name="Parameters" sheetId="7" r:id="rId7"/>
    <sheet name="Thresholds" sheetId="8" r:id="rId8"/>
  </sheets>
  <calcPr calcId="0"/>
</workbook>
</file>

<file path=xl/sharedStrings.xml><?xml version="1.0" encoding="utf-8"?>
<sst xmlns="http://schemas.openxmlformats.org/spreadsheetml/2006/main" count="483" uniqueCount="155">
  <si>
    <t>From Compliance to Competitive Edge</t>
  </si>
  <si>
    <t>Green Supply Chain Network Design Under China's Dual Carbon Goals</t>
  </si>
  <si>
    <t>Companion data workbook</t>
  </si>
  <si>
    <t>Author</t>
  </si>
  <si>
    <t>Course</t>
  </si>
  <si>
    <t>Logistics and Supply Chain Management (Prof. Zhang Jun, Tongji University)</t>
  </si>
  <si>
    <t>2026-06-06</t>
  </si>
  <si>
    <t>Source code</t>
  </si>
  <si>
    <t>lscm_milp/ (Python package, PuLP MILP)</t>
  </si>
  <si>
    <t>Contents</t>
  </si>
  <si>
    <t>Summary</t>
  </si>
  <si>
    <t>Headline scenario table with cost-minimum, first-threshold, low-carbon and emissions-minimum configurations.</t>
  </si>
  <si>
    <t>Pareto frontier</t>
  </si>
  <si>
    <t>Epsilon-constraint sweep (12 points) with cost, emissions, modal shares, and an embedded chart.</t>
  </si>
  <si>
    <t>Carbon price sweep</t>
  </si>
  <si>
    <t>Weighted-sum sweep across 41 carbon prices from 0 to 1000 RMB/tCO2, with two embedded charts.</t>
  </si>
  <si>
    <t>Network nodes</t>
  </si>
  <si>
    <t>Coordinates of suppliers, production sites, DCs, and demand regions, plus active status per zone.</t>
  </si>
  <si>
    <t>Network flows</t>
  </si>
  <si>
    <t>Flow volumes and modes on every active arc in each zone.</t>
  </si>
  <si>
    <t>Parameters</t>
  </si>
  <si>
    <t>Calibration block: capacities, emission factors, transport costs, rail handling cost, distance thresholds.</t>
  </si>
  <si>
    <t>Thresholds</t>
  </si>
  <si>
    <t>Structural-jump detection output from the carbon-price sweep.</t>
  </si>
  <si>
    <t>Key result</t>
  </si>
  <si>
    <t>First structural threshold at p = 25 RMB/tCO2: modal shift from 26% road / 74% rail to 11% / 89%, emissions -20%, cost +0.02%. Current China ETS spot (Jan 2026) sits at 76 RMB/tCO2.</t>
  </si>
  <si>
    <t>LSCM Final — MILP Results Summary</t>
  </si>
  <si>
    <t>First structural threshold</t>
  </si>
  <si>
    <t>RMB / tCO2</t>
  </si>
  <si>
    <t>Current China ETS spot (Jan 2026)</t>
  </si>
  <si>
    <t>Total demand modelled</t>
  </si>
  <si>
    <t>t / year</t>
  </si>
  <si>
    <t>Representative configurations on the Pareto frontier</t>
  </si>
  <si>
    <t>Scenario</t>
  </si>
  <si>
    <t>Carbon price (RMB/tCO2)</t>
  </si>
  <si>
    <t>Cost (RMB/year)</t>
  </si>
  <si>
    <t>Emissions (tCO2/year)</t>
  </si>
  <si>
    <t>Δ cost vs base (%)</t>
  </si>
  <si>
    <t>Δ emissions vs base (%)</t>
  </si>
  <si>
    <t>Production sites</t>
  </si>
  <si>
    <t>DCs</t>
  </si>
  <si>
    <t>Road share</t>
  </si>
  <si>
    <t>Rail share</t>
  </si>
  <si>
    <t>NEV share</t>
  </si>
  <si>
    <t>Cost minimum</t>
  </si>
  <si>
    <t>j1_Suzhou</t>
  </si>
  <si>
    <t>k1_Shanghai + k2_Chengdu + k3_Shenzhen</t>
  </si>
  <si>
    <t>After first threshold (p=25)</t>
  </si>
  <si>
    <t>Low-carbon network (epsilon)</t>
  </si>
  <si>
    <t>Emissions minimum (epsilon)</t>
  </si>
  <si>
    <t>j1_Suzhou + j2_Chongqing</t>
  </si>
  <si>
    <t>Index</t>
  </si>
  <si>
    <t>Label</t>
  </si>
  <si>
    <t>Cost (M RMB/year)</t>
  </si>
  <si>
    <t>Open sites</t>
  </si>
  <si>
    <t>Open DCs</t>
  </si>
  <si>
    <t>emissions_min</t>
  </si>
  <si>
    <t>eps_1</t>
  </si>
  <si>
    <t>eps_2</t>
  </si>
  <si>
    <t>eps_3</t>
  </si>
  <si>
    <t>eps_4</t>
  </si>
  <si>
    <t>eps_5</t>
  </si>
  <si>
    <t>eps_6</t>
  </si>
  <si>
    <t>eps_7</t>
  </si>
  <si>
    <t>eps_8</t>
  </si>
  <si>
    <t>eps_9</t>
  </si>
  <si>
    <t>eps_10</t>
  </si>
  <si>
    <t>cost_min</t>
  </si>
  <si>
    <t>Node ID</t>
  </si>
  <si>
    <t>Type</t>
  </si>
  <si>
    <t>Name</t>
  </si>
  <si>
    <t>Longitude</t>
  </si>
  <si>
    <t>Latitude</t>
  </si>
  <si>
    <t>Active Zone 1</t>
  </si>
  <si>
    <t>Active Zone 2</t>
  </si>
  <si>
    <t>Active Zone 3</t>
  </si>
  <si>
    <t>i1_Guangzhou</t>
  </si>
  <si>
    <t>supplier</t>
  </si>
  <si>
    <t>Supplier · Guangzhou</t>
  </si>
  <si>
    <t>yes</t>
  </si>
  <si>
    <t>i2_Suzhou</t>
  </si>
  <si>
    <t>Supplier · Yangtze</t>
  </si>
  <si>
    <t>i3_Tianjin</t>
  </si>
  <si>
    <t>Supplier · Tianjin</t>
  </si>
  <si>
    <t>prod</t>
  </si>
  <si>
    <t>Production · Suzhou</t>
  </si>
  <si>
    <t>j2_Chongqing</t>
  </si>
  <si>
    <t>Production · Chongqing</t>
  </si>
  <si>
    <t>no</t>
  </si>
  <si>
    <t>k1_Shanghai</t>
  </si>
  <si>
    <t>dc</t>
  </si>
  <si>
    <t>DC · Shanghai</t>
  </si>
  <si>
    <t>k2_Chengdu</t>
  </si>
  <si>
    <t>DC · Chengdu</t>
  </si>
  <si>
    <t>k3_Shenzhen</t>
  </si>
  <si>
    <t>DC · Shenzhen</t>
  </si>
  <si>
    <t>l1_East</t>
  </si>
  <si>
    <t>demand</t>
  </si>
  <si>
    <t>Demand · East</t>
  </si>
  <si>
    <t>l2_South</t>
  </si>
  <si>
    <t>Demand · South</t>
  </si>
  <si>
    <t>l3_West</t>
  </si>
  <si>
    <t>Demand · West</t>
  </si>
  <si>
    <t>l4_North</t>
  </si>
  <si>
    <t>Demand · North</t>
  </si>
  <si>
    <t>l5_Central</t>
  </si>
  <si>
    <t>Demand · Central</t>
  </si>
  <si>
    <t>Zone</t>
  </si>
  <si>
    <t>Arc type</t>
  </si>
  <si>
    <t>Origin</t>
  </si>
  <si>
    <t>Destination</t>
  </si>
  <si>
    <t>Mode</t>
  </si>
  <si>
    <t>Flow (tonnes/year)</t>
  </si>
  <si>
    <t>Distance (km)</t>
  </si>
  <si>
    <t>Zone 1 cost min</t>
  </si>
  <si>
    <t>supplier_to_prod</t>
  </si>
  <si>
    <t>road_diesel</t>
  </si>
  <si>
    <t>prod_to_dc</t>
  </si>
  <si>
    <t>rail</t>
  </si>
  <si>
    <t>dc_to_demand</t>
  </si>
  <si>
    <t>Zone 2 post threshold</t>
  </si>
  <si>
    <t>Zone 3 emissions min</t>
  </si>
  <si>
    <t>nev_road</t>
  </si>
  <si>
    <t>Parameter</t>
  </si>
  <si>
    <t>Value</t>
  </si>
  <si>
    <t>Unit</t>
  </si>
  <si>
    <t>Note</t>
  </si>
  <si>
    <t>Total demand</t>
  </si>
  <si>
    <t>t/year</t>
  </si>
  <si>
    <t>Production capacity per site</t>
  </si>
  <si>
    <t>DC capacity per site</t>
  </si>
  <si>
    <t>Rail variable cost</t>
  </si>
  <si>
    <t>RMB/tkm</t>
  </si>
  <si>
    <t>GLEC China range for containerised non-bulk freight</t>
  </si>
  <si>
    <t>Road diesel variable cost</t>
  </si>
  <si>
    <t>NEV road variable cost</t>
  </si>
  <si>
    <t>Rail handling cost</t>
  </si>
  <si>
    <t>RMB/t</t>
  </si>
  <si>
    <t>Drayage + service-reliability premium</t>
  </si>
  <si>
    <t>Rail minimum distance</t>
  </si>
  <si>
    <t>km</t>
  </si>
  <si>
    <t>NEV maximum distance</t>
  </si>
  <si>
    <t>Emission factor road diesel</t>
  </si>
  <si>
    <t>gCO2/tkm</t>
  </si>
  <si>
    <t>GLEC 2024</t>
  </si>
  <si>
    <t>Emission factor rail</t>
  </si>
  <si>
    <t>Emission factor NEV road</t>
  </si>
  <si>
    <t>550 gCO2/kWh grid × 0.06 kWh/tkm</t>
  </si>
  <si>
    <t>Carbon price grid step</t>
  </si>
  <si>
    <t>RMB/tCO2</t>
  </si>
  <si>
    <t>Carbon price grid max</t>
  </si>
  <si>
    <t>Reasons</t>
  </si>
  <si>
    <t>rail 0.74-&gt;0.89; road 0.26-&gt;0.11</t>
  </si>
  <si>
    <t>Alexander Kuehne</t>
  </si>
  <si>
    <t>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</si>
</sst>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b/>
      <sz val="12"/>
      <color rgb="FF1F4E79"/>
      <name val="Calibri"/>
    </font>
    <font>
      <i/>
      <sz val="11"/>
      <name val="Calibri"/>
    </font>
    <font>
      <b/>
      <sz val="11"/>
      <name val="Calibri"/>
    </font>
    <font>
      <b/>
      <sz val="11"/>
      <name val="Calibri"/>
    </font>
    <font>
      <b/>
      <sz val="14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/>
    <xf numFmtId="0" fontId="9" fillId="0" borderId="0" xfId="0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DE"/>
              <a:t>Pareto frontier: cost vs emissions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'Pareto frontier'!$D$1</c:f>
              <c:strCache>
                <c:ptCount val="1"/>
                <c:pt idx="0">
                  <c:v>Emissions (tCO2/year)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'Pareto frontier'!$C$2:$C$13</c:f>
              <c:numCache>
                <c:formatCode>General</c:formatCode>
                <c:ptCount val="12"/>
                <c:pt idx="0">
                  <c:v>457.94600000000003</c:v>
                </c:pt>
                <c:pt idx="1">
                  <c:v>389.654</c:v>
                </c:pt>
                <c:pt idx="2">
                  <c:v>388.709</c:v>
                </c:pt>
                <c:pt idx="3">
                  <c:v>387.76400000000001</c:v>
                </c:pt>
                <c:pt idx="4">
                  <c:v>387.46800000000002</c:v>
                </c:pt>
                <c:pt idx="5">
                  <c:v>387.459</c:v>
                </c:pt>
                <c:pt idx="6">
                  <c:v>387.45</c:v>
                </c:pt>
                <c:pt idx="7">
                  <c:v>387.44200000000001</c:v>
                </c:pt>
                <c:pt idx="8">
                  <c:v>387.43299999999999</c:v>
                </c:pt>
                <c:pt idx="9">
                  <c:v>387.42399999999998</c:v>
                </c:pt>
                <c:pt idx="10">
                  <c:v>387.41500000000002</c:v>
                </c:pt>
                <c:pt idx="11">
                  <c:v>387.40699999999998</c:v>
                </c:pt>
              </c:numCache>
            </c:numRef>
          </c:cat>
          <c:val>
            <c:numRef>
              <c:f>'Pareto frontier'!$D$2:$D$13</c:f>
              <c:numCache>
                <c:formatCode>General</c:formatCode>
                <c:ptCount val="12"/>
                <c:pt idx="0">
                  <c:v>13970.588</c:v>
                </c:pt>
                <c:pt idx="1">
                  <c:v>14480.932000000001</c:v>
                </c:pt>
                <c:pt idx="2">
                  <c:v>14991.276</c:v>
                </c:pt>
                <c:pt idx="3">
                  <c:v>15501.619000000001</c:v>
                </c:pt>
                <c:pt idx="4">
                  <c:v>16011.963</c:v>
                </c:pt>
                <c:pt idx="5">
                  <c:v>16522.307000000001</c:v>
                </c:pt>
                <c:pt idx="6">
                  <c:v>17032.650000000001</c:v>
                </c:pt>
                <c:pt idx="7">
                  <c:v>17542.993999999999</c:v>
                </c:pt>
                <c:pt idx="8">
                  <c:v>18053.338</c:v>
                </c:pt>
                <c:pt idx="9">
                  <c:v>18563.682000000001</c:v>
                </c:pt>
                <c:pt idx="10">
                  <c:v>19074.025000000001</c:v>
                </c:pt>
                <c:pt idx="11">
                  <c:v>19584.368999999999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98C-904A-AF5D-474CC0CCF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Cost (M RMB / year)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Emissions (tCO2 / year)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DE"/>
              <a:t>Emissions vs carbon price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'Carbon price sweep'!$C$1</c:f>
              <c:strCache>
                <c:ptCount val="1"/>
                <c:pt idx="0">
                  <c:v>Emissions (tCO2/year)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'Carbon price sweep'!$A$2:$A$42</c:f>
              <c:numCache>
                <c:formatCode>General</c:formatCode>
                <c:ptCount val="41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  <c:pt idx="9">
                  <c:v>225</c:v>
                </c:pt>
                <c:pt idx="10">
                  <c:v>250</c:v>
                </c:pt>
                <c:pt idx="11">
                  <c:v>275</c:v>
                </c:pt>
                <c:pt idx="12">
                  <c:v>300</c:v>
                </c:pt>
                <c:pt idx="13">
                  <c:v>325</c:v>
                </c:pt>
                <c:pt idx="14">
                  <c:v>350</c:v>
                </c:pt>
                <c:pt idx="15">
                  <c:v>375</c:v>
                </c:pt>
                <c:pt idx="16">
                  <c:v>400</c:v>
                </c:pt>
                <c:pt idx="17">
                  <c:v>425</c:v>
                </c:pt>
                <c:pt idx="18">
                  <c:v>450</c:v>
                </c:pt>
                <c:pt idx="19">
                  <c:v>475</c:v>
                </c:pt>
                <c:pt idx="20">
                  <c:v>500</c:v>
                </c:pt>
                <c:pt idx="21">
                  <c:v>525</c:v>
                </c:pt>
                <c:pt idx="22">
                  <c:v>550</c:v>
                </c:pt>
                <c:pt idx="23">
                  <c:v>575</c:v>
                </c:pt>
                <c:pt idx="24">
                  <c:v>600</c:v>
                </c:pt>
                <c:pt idx="25">
                  <c:v>625</c:v>
                </c:pt>
                <c:pt idx="26">
                  <c:v>650</c:v>
                </c:pt>
                <c:pt idx="27">
                  <c:v>675</c:v>
                </c:pt>
                <c:pt idx="28">
                  <c:v>700</c:v>
                </c:pt>
                <c:pt idx="29">
                  <c:v>725</c:v>
                </c:pt>
                <c:pt idx="30">
                  <c:v>750</c:v>
                </c:pt>
                <c:pt idx="31">
                  <c:v>775</c:v>
                </c:pt>
                <c:pt idx="32">
                  <c:v>800</c:v>
                </c:pt>
                <c:pt idx="33">
                  <c:v>825</c:v>
                </c:pt>
                <c:pt idx="34">
                  <c:v>850</c:v>
                </c:pt>
                <c:pt idx="35">
                  <c:v>875</c:v>
                </c:pt>
                <c:pt idx="36">
                  <c:v>900</c:v>
                </c:pt>
                <c:pt idx="37">
                  <c:v>925</c:v>
                </c:pt>
                <c:pt idx="38">
                  <c:v>950</c:v>
                </c:pt>
                <c:pt idx="39">
                  <c:v>975</c:v>
                </c:pt>
                <c:pt idx="40">
                  <c:v>1000</c:v>
                </c:pt>
              </c:numCache>
            </c:numRef>
          </c:cat>
          <c:val>
            <c:numRef>
              <c:f>'Carbon price sweep'!$C$2:$C$42</c:f>
              <c:numCache>
                <c:formatCode>General</c:formatCode>
                <c:ptCount val="41"/>
                <c:pt idx="0">
                  <c:v>19584.368999999999</c:v>
                </c:pt>
                <c:pt idx="1">
                  <c:v>15658.066000000001</c:v>
                </c:pt>
                <c:pt idx="2">
                  <c:v>15658.066000000001</c:v>
                </c:pt>
                <c:pt idx="3">
                  <c:v>15658.066000000001</c:v>
                </c:pt>
                <c:pt idx="4">
                  <c:v>15658.066000000001</c:v>
                </c:pt>
                <c:pt idx="5">
                  <c:v>15658.066000000001</c:v>
                </c:pt>
                <c:pt idx="6">
                  <c:v>15658.066000000001</c:v>
                </c:pt>
                <c:pt idx="7">
                  <c:v>15658.066000000001</c:v>
                </c:pt>
                <c:pt idx="8">
                  <c:v>15658.066000000001</c:v>
                </c:pt>
                <c:pt idx="9">
                  <c:v>15658.066000000001</c:v>
                </c:pt>
                <c:pt idx="10">
                  <c:v>15658.066000000001</c:v>
                </c:pt>
                <c:pt idx="11">
                  <c:v>15658.066000000001</c:v>
                </c:pt>
                <c:pt idx="12">
                  <c:v>15658.066000000001</c:v>
                </c:pt>
                <c:pt idx="13">
                  <c:v>15658.066000000001</c:v>
                </c:pt>
                <c:pt idx="14">
                  <c:v>15658.066000000001</c:v>
                </c:pt>
                <c:pt idx="15">
                  <c:v>15658.066000000001</c:v>
                </c:pt>
                <c:pt idx="16">
                  <c:v>15658.066000000001</c:v>
                </c:pt>
                <c:pt idx="17">
                  <c:v>15658.066000000001</c:v>
                </c:pt>
                <c:pt idx="18">
                  <c:v>15658.066000000001</c:v>
                </c:pt>
                <c:pt idx="19">
                  <c:v>15658.066000000001</c:v>
                </c:pt>
                <c:pt idx="20">
                  <c:v>15658.066000000001</c:v>
                </c:pt>
                <c:pt idx="21">
                  <c:v>15658.066000000001</c:v>
                </c:pt>
                <c:pt idx="22">
                  <c:v>15658.066000000001</c:v>
                </c:pt>
                <c:pt idx="23">
                  <c:v>15658.066000000001</c:v>
                </c:pt>
                <c:pt idx="24">
                  <c:v>15658.066000000001</c:v>
                </c:pt>
                <c:pt idx="25">
                  <c:v>15658.066000000001</c:v>
                </c:pt>
                <c:pt idx="26">
                  <c:v>15658.066000000001</c:v>
                </c:pt>
                <c:pt idx="27">
                  <c:v>15658.066000000001</c:v>
                </c:pt>
                <c:pt idx="28">
                  <c:v>15658.066000000001</c:v>
                </c:pt>
                <c:pt idx="29">
                  <c:v>15658.066000000001</c:v>
                </c:pt>
                <c:pt idx="30">
                  <c:v>15658.066000000001</c:v>
                </c:pt>
                <c:pt idx="31">
                  <c:v>15658.066000000001</c:v>
                </c:pt>
                <c:pt idx="32">
                  <c:v>15658.066000000001</c:v>
                </c:pt>
                <c:pt idx="33">
                  <c:v>15658.066000000001</c:v>
                </c:pt>
                <c:pt idx="34">
                  <c:v>15658.066000000001</c:v>
                </c:pt>
                <c:pt idx="35">
                  <c:v>15658.066000000001</c:v>
                </c:pt>
                <c:pt idx="36">
                  <c:v>15658.066000000001</c:v>
                </c:pt>
                <c:pt idx="37">
                  <c:v>15658.066000000001</c:v>
                </c:pt>
                <c:pt idx="38">
                  <c:v>15658.066000000001</c:v>
                </c:pt>
                <c:pt idx="39">
                  <c:v>15658.066000000001</c:v>
                </c:pt>
                <c:pt idx="40">
                  <c:v>15658.066000000001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8-BC43-9A35-101904DE8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Carbon price (RMB / tCO2)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Emissions (tCO2 / year)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DE"/>
              <a:t>Modal share vs carbon price</a:t>
            </a:r>
          </a:p>
        </c:rich>
      </c:tx>
      <c:overlay val="1"/>
    </c:title>
    <c:autoTitleDeleted val="0"/>
    <c:plotArea>
      <c:layout/>
      <c:barChart>
        <c:barDir val="col"/>
        <c:grouping val="percentStacked"/>
        <c:varyColors val="1"/>
        <c:ser>
          <c:idx val="0"/>
          <c:order val="0"/>
          <c:tx>
            <c:strRef>
              <c:f>'Carbon price sweep'!$D$1</c:f>
              <c:strCache>
                <c:ptCount val="1"/>
                <c:pt idx="0">
                  <c:v>Road share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'Carbon price sweep'!$A$2:$A$42</c:f>
              <c:numCache>
                <c:formatCode>General</c:formatCode>
                <c:ptCount val="41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  <c:pt idx="9">
                  <c:v>225</c:v>
                </c:pt>
                <c:pt idx="10">
                  <c:v>250</c:v>
                </c:pt>
                <c:pt idx="11">
                  <c:v>275</c:v>
                </c:pt>
                <c:pt idx="12">
                  <c:v>300</c:v>
                </c:pt>
                <c:pt idx="13">
                  <c:v>325</c:v>
                </c:pt>
                <c:pt idx="14">
                  <c:v>350</c:v>
                </c:pt>
                <c:pt idx="15">
                  <c:v>375</c:v>
                </c:pt>
                <c:pt idx="16">
                  <c:v>400</c:v>
                </c:pt>
                <c:pt idx="17">
                  <c:v>425</c:v>
                </c:pt>
                <c:pt idx="18">
                  <c:v>450</c:v>
                </c:pt>
                <c:pt idx="19">
                  <c:v>475</c:v>
                </c:pt>
                <c:pt idx="20">
                  <c:v>500</c:v>
                </c:pt>
                <c:pt idx="21">
                  <c:v>525</c:v>
                </c:pt>
                <c:pt idx="22">
                  <c:v>550</c:v>
                </c:pt>
                <c:pt idx="23">
                  <c:v>575</c:v>
                </c:pt>
                <c:pt idx="24">
                  <c:v>600</c:v>
                </c:pt>
                <c:pt idx="25">
                  <c:v>625</c:v>
                </c:pt>
                <c:pt idx="26">
                  <c:v>650</c:v>
                </c:pt>
                <c:pt idx="27">
                  <c:v>675</c:v>
                </c:pt>
                <c:pt idx="28">
                  <c:v>700</c:v>
                </c:pt>
                <c:pt idx="29">
                  <c:v>725</c:v>
                </c:pt>
                <c:pt idx="30">
                  <c:v>750</c:v>
                </c:pt>
                <c:pt idx="31">
                  <c:v>775</c:v>
                </c:pt>
                <c:pt idx="32">
                  <c:v>800</c:v>
                </c:pt>
                <c:pt idx="33">
                  <c:v>825</c:v>
                </c:pt>
                <c:pt idx="34">
                  <c:v>850</c:v>
                </c:pt>
                <c:pt idx="35">
                  <c:v>875</c:v>
                </c:pt>
                <c:pt idx="36">
                  <c:v>900</c:v>
                </c:pt>
                <c:pt idx="37">
                  <c:v>925</c:v>
                </c:pt>
                <c:pt idx="38">
                  <c:v>950</c:v>
                </c:pt>
                <c:pt idx="39">
                  <c:v>975</c:v>
                </c:pt>
                <c:pt idx="40">
                  <c:v>1000</c:v>
                </c:pt>
              </c:numCache>
            </c:numRef>
          </c:cat>
          <c:val>
            <c:numRef>
              <c:f>'Carbon price sweep'!$D$2:$D$42</c:f>
              <c:numCache>
                <c:formatCode>General</c:formatCode>
                <c:ptCount val="41"/>
                <c:pt idx="0">
                  <c:v>0.26500000000000001</c:v>
                </c:pt>
                <c:pt idx="1">
                  <c:v>0.1096</c:v>
                </c:pt>
                <c:pt idx="2">
                  <c:v>0.1096</c:v>
                </c:pt>
                <c:pt idx="3">
                  <c:v>0.1096</c:v>
                </c:pt>
                <c:pt idx="4">
                  <c:v>0.1096</c:v>
                </c:pt>
                <c:pt idx="5">
                  <c:v>0.1096</c:v>
                </c:pt>
                <c:pt idx="6">
                  <c:v>0.1096</c:v>
                </c:pt>
                <c:pt idx="7">
                  <c:v>0.1096</c:v>
                </c:pt>
                <c:pt idx="8">
                  <c:v>0.1096</c:v>
                </c:pt>
                <c:pt idx="9">
                  <c:v>0.1096</c:v>
                </c:pt>
                <c:pt idx="10">
                  <c:v>0.1096</c:v>
                </c:pt>
                <c:pt idx="11">
                  <c:v>0.1096</c:v>
                </c:pt>
                <c:pt idx="12">
                  <c:v>0.1096</c:v>
                </c:pt>
                <c:pt idx="13">
                  <c:v>0.1096</c:v>
                </c:pt>
                <c:pt idx="14">
                  <c:v>0.1096</c:v>
                </c:pt>
                <c:pt idx="15">
                  <c:v>0.1096</c:v>
                </c:pt>
                <c:pt idx="16">
                  <c:v>0.1096</c:v>
                </c:pt>
                <c:pt idx="17">
                  <c:v>0.1096</c:v>
                </c:pt>
                <c:pt idx="18">
                  <c:v>0.1096</c:v>
                </c:pt>
                <c:pt idx="19">
                  <c:v>0.1096</c:v>
                </c:pt>
                <c:pt idx="20">
                  <c:v>0.1096</c:v>
                </c:pt>
                <c:pt idx="21">
                  <c:v>0.1096</c:v>
                </c:pt>
                <c:pt idx="22">
                  <c:v>0.1096</c:v>
                </c:pt>
                <c:pt idx="23">
                  <c:v>0.1096</c:v>
                </c:pt>
                <c:pt idx="24">
                  <c:v>0.1096</c:v>
                </c:pt>
                <c:pt idx="25">
                  <c:v>0.1096</c:v>
                </c:pt>
                <c:pt idx="26">
                  <c:v>0.1096</c:v>
                </c:pt>
                <c:pt idx="27">
                  <c:v>0.1096</c:v>
                </c:pt>
                <c:pt idx="28">
                  <c:v>0.1096</c:v>
                </c:pt>
                <c:pt idx="29">
                  <c:v>0.1096</c:v>
                </c:pt>
                <c:pt idx="30">
                  <c:v>0.1096</c:v>
                </c:pt>
                <c:pt idx="31">
                  <c:v>0.1096</c:v>
                </c:pt>
                <c:pt idx="32">
                  <c:v>0.1096</c:v>
                </c:pt>
                <c:pt idx="33">
                  <c:v>0.1096</c:v>
                </c:pt>
                <c:pt idx="34">
                  <c:v>0.1096</c:v>
                </c:pt>
                <c:pt idx="35">
                  <c:v>0.1096</c:v>
                </c:pt>
                <c:pt idx="36">
                  <c:v>0.1096</c:v>
                </c:pt>
                <c:pt idx="37">
                  <c:v>0.1096</c:v>
                </c:pt>
                <c:pt idx="38">
                  <c:v>0.1096</c:v>
                </c:pt>
                <c:pt idx="39">
                  <c:v>0.1096</c:v>
                </c:pt>
                <c:pt idx="40">
                  <c:v>0.1096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C-FC46-B95E-E412A8908316}"/>
            </c:ext>
          </c:extLst>
        </c:ser>
        <c:ser>
          <c:idx val="1"/>
          <c:order val="1"/>
          <c:tx>
            <c:strRef>
              <c:f>'Carbon price sweep'!$E$1</c:f>
              <c:strCache>
                <c:ptCount val="1"/>
                <c:pt idx="0">
                  <c:v>Rail share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'Carbon price sweep'!$A$2:$A$42</c:f>
              <c:numCache>
                <c:formatCode>General</c:formatCode>
                <c:ptCount val="41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  <c:pt idx="9">
                  <c:v>225</c:v>
                </c:pt>
                <c:pt idx="10">
                  <c:v>250</c:v>
                </c:pt>
                <c:pt idx="11">
                  <c:v>275</c:v>
                </c:pt>
                <c:pt idx="12">
                  <c:v>300</c:v>
                </c:pt>
                <c:pt idx="13">
                  <c:v>325</c:v>
                </c:pt>
                <c:pt idx="14">
                  <c:v>350</c:v>
                </c:pt>
                <c:pt idx="15">
                  <c:v>375</c:v>
                </c:pt>
                <c:pt idx="16">
                  <c:v>400</c:v>
                </c:pt>
                <c:pt idx="17">
                  <c:v>425</c:v>
                </c:pt>
                <c:pt idx="18">
                  <c:v>450</c:v>
                </c:pt>
                <c:pt idx="19">
                  <c:v>475</c:v>
                </c:pt>
                <c:pt idx="20">
                  <c:v>500</c:v>
                </c:pt>
                <c:pt idx="21">
                  <c:v>525</c:v>
                </c:pt>
                <c:pt idx="22">
                  <c:v>550</c:v>
                </c:pt>
                <c:pt idx="23">
                  <c:v>575</c:v>
                </c:pt>
                <c:pt idx="24">
                  <c:v>600</c:v>
                </c:pt>
                <c:pt idx="25">
                  <c:v>625</c:v>
                </c:pt>
                <c:pt idx="26">
                  <c:v>650</c:v>
                </c:pt>
                <c:pt idx="27">
                  <c:v>675</c:v>
                </c:pt>
                <c:pt idx="28">
                  <c:v>700</c:v>
                </c:pt>
                <c:pt idx="29">
                  <c:v>725</c:v>
                </c:pt>
                <c:pt idx="30">
                  <c:v>750</c:v>
                </c:pt>
                <c:pt idx="31">
                  <c:v>775</c:v>
                </c:pt>
                <c:pt idx="32">
                  <c:v>800</c:v>
                </c:pt>
                <c:pt idx="33">
                  <c:v>825</c:v>
                </c:pt>
                <c:pt idx="34">
                  <c:v>850</c:v>
                </c:pt>
                <c:pt idx="35">
                  <c:v>875</c:v>
                </c:pt>
                <c:pt idx="36">
                  <c:v>900</c:v>
                </c:pt>
                <c:pt idx="37">
                  <c:v>925</c:v>
                </c:pt>
                <c:pt idx="38">
                  <c:v>950</c:v>
                </c:pt>
                <c:pt idx="39">
                  <c:v>975</c:v>
                </c:pt>
                <c:pt idx="40">
                  <c:v>1000</c:v>
                </c:pt>
              </c:numCache>
            </c:numRef>
          </c:cat>
          <c:val>
            <c:numRef>
              <c:f>'Carbon price sweep'!$E$2:$E$42</c:f>
              <c:numCache>
                <c:formatCode>General</c:formatCode>
                <c:ptCount val="41"/>
                <c:pt idx="0">
                  <c:v>0.73499999999999999</c:v>
                </c:pt>
                <c:pt idx="1">
                  <c:v>0.89039999999999997</c:v>
                </c:pt>
                <c:pt idx="2">
                  <c:v>0.89039999999999997</c:v>
                </c:pt>
                <c:pt idx="3">
                  <c:v>0.89039999999999997</c:v>
                </c:pt>
                <c:pt idx="4">
                  <c:v>0.89039999999999997</c:v>
                </c:pt>
                <c:pt idx="5">
                  <c:v>0.89039999999999997</c:v>
                </c:pt>
                <c:pt idx="6">
                  <c:v>0.89039999999999997</c:v>
                </c:pt>
                <c:pt idx="7">
                  <c:v>0.89039999999999997</c:v>
                </c:pt>
                <c:pt idx="8">
                  <c:v>0.89039999999999997</c:v>
                </c:pt>
                <c:pt idx="9">
                  <c:v>0.89039999999999997</c:v>
                </c:pt>
                <c:pt idx="10">
                  <c:v>0.89039999999999997</c:v>
                </c:pt>
                <c:pt idx="11">
                  <c:v>0.89039999999999997</c:v>
                </c:pt>
                <c:pt idx="12">
                  <c:v>0.89039999999999997</c:v>
                </c:pt>
                <c:pt idx="13">
                  <c:v>0.89039999999999997</c:v>
                </c:pt>
                <c:pt idx="14">
                  <c:v>0.89039999999999997</c:v>
                </c:pt>
                <c:pt idx="15">
                  <c:v>0.89039999999999997</c:v>
                </c:pt>
                <c:pt idx="16">
                  <c:v>0.89039999999999997</c:v>
                </c:pt>
                <c:pt idx="17">
                  <c:v>0.89039999999999997</c:v>
                </c:pt>
                <c:pt idx="18">
                  <c:v>0.89039999999999997</c:v>
                </c:pt>
                <c:pt idx="19">
                  <c:v>0.89039999999999997</c:v>
                </c:pt>
                <c:pt idx="20">
                  <c:v>0.89039999999999997</c:v>
                </c:pt>
                <c:pt idx="21">
                  <c:v>0.89039999999999997</c:v>
                </c:pt>
                <c:pt idx="22">
                  <c:v>0.89039999999999997</c:v>
                </c:pt>
                <c:pt idx="23">
                  <c:v>0.89039999999999997</c:v>
                </c:pt>
                <c:pt idx="24">
                  <c:v>0.89039999999999997</c:v>
                </c:pt>
                <c:pt idx="25">
                  <c:v>0.89039999999999997</c:v>
                </c:pt>
                <c:pt idx="26">
                  <c:v>0.89039999999999997</c:v>
                </c:pt>
                <c:pt idx="27">
                  <c:v>0.89039999999999997</c:v>
                </c:pt>
                <c:pt idx="28">
                  <c:v>0.89039999999999997</c:v>
                </c:pt>
                <c:pt idx="29">
                  <c:v>0.89039999999999997</c:v>
                </c:pt>
                <c:pt idx="30">
                  <c:v>0.89039999999999997</c:v>
                </c:pt>
                <c:pt idx="31">
                  <c:v>0.89039999999999997</c:v>
                </c:pt>
                <c:pt idx="32">
                  <c:v>0.89039999999999997</c:v>
                </c:pt>
                <c:pt idx="33">
                  <c:v>0.89039999999999997</c:v>
                </c:pt>
                <c:pt idx="34">
                  <c:v>0.89039999999999997</c:v>
                </c:pt>
                <c:pt idx="35">
                  <c:v>0.89039999999999997</c:v>
                </c:pt>
                <c:pt idx="36">
                  <c:v>0.89039999999999997</c:v>
                </c:pt>
                <c:pt idx="37">
                  <c:v>0.89039999999999997</c:v>
                </c:pt>
                <c:pt idx="38">
                  <c:v>0.89039999999999997</c:v>
                </c:pt>
                <c:pt idx="39">
                  <c:v>0.89039999999999997</c:v>
                </c:pt>
                <c:pt idx="40">
                  <c:v>0.89039999999999997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C-FC46-B95E-E412A8908316}"/>
            </c:ext>
          </c:extLst>
        </c:ser>
        <c:ser>
          <c:idx val="2"/>
          <c:order val="2"/>
          <c:tx>
            <c:strRef>
              <c:f>'Carbon price sweep'!$F$1</c:f>
              <c:strCache>
                <c:ptCount val="1"/>
                <c:pt idx="0">
                  <c:v>NEV share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'Carbon price sweep'!$A$2:$A$42</c:f>
              <c:numCache>
                <c:formatCode>General</c:formatCode>
                <c:ptCount val="41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  <c:pt idx="9">
                  <c:v>225</c:v>
                </c:pt>
                <c:pt idx="10">
                  <c:v>250</c:v>
                </c:pt>
                <c:pt idx="11">
                  <c:v>275</c:v>
                </c:pt>
                <c:pt idx="12">
                  <c:v>300</c:v>
                </c:pt>
                <c:pt idx="13">
                  <c:v>325</c:v>
                </c:pt>
                <c:pt idx="14">
                  <c:v>350</c:v>
                </c:pt>
                <c:pt idx="15">
                  <c:v>375</c:v>
                </c:pt>
                <c:pt idx="16">
                  <c:v>400</c:v>
                </c:pt>
                <c:pt idx="17">
                  <c:v>425</c:v>
                </c:pt>
                <c:pt idx="18">
                  <c:v>450</c:v>
                </c:pt>
                <c:pt idx="19">
                  <c:v>475</c:v>
                </c:pt>
                <c:pt idx="20">
                  <c:v>500</c:v>
                </c:pt>
                <c:pt idx="21">
                  <c:v>525</c:v>
                </c:pt>
                <c:pt idx="22">
                  <c:v>550</c:v>
                </c:pt>
                <c:pt idx="23">
                  <c:v>575</c:v>
                </c:pt>
                <c:pt idx="24">
                  <c:v>600</c:v>
                </c:pt>
                <c:pt idx="25">
                  <c:v>625</c:v>
                </c:pt>
                <c:pt idx="26">
                  <c:v>650</c:v>
                </c:pt>
                <c:pt idx="27">
                  <c:v>675</c:v>
                </c:pt>
                <c:pt idx="28">
                  <c:v>700</c:v>
                </c:pt>
                <c:pt idx="29">
                  <c:v>725</c:v>
                </c:pt>
                <c:pt idx="30">
                  <c:v>750</c:v>
                </c:pt>
                <c:pt idx="31">
                  <c:v>775</c:v>
                </c:pt>
                <c:pt idx="32">
                  <c:v>800</c:v>
                </c:pt>
                <c:pt idx="33">
                  <c:v>825</c:v>
                </c:pt>
                <c:pt idx="34">
                  <c:v>850</c:v>
                </c:pt>
                <c:pt idx="35">
                  <c:v>875</c:v>
                </c:pt>
                <c:pt idx="36">
                  <c:v>900</c:v>
                </c:pt>
                <c:pt idx="37">
                  <c:v>925</c:v>
                </c:pt>
                <c:pt idx="38">
                  <c:v>950</c:v>
                </c:pt>
                <c:pt idx="39">
                  <c:v>975</c:v>
                </c:pt>
                <c:pt idx="40">
                  <c:v>1000</c:v>
                </c:pt>
              </c:numCache>
            </c:numRef>
          </c:cat>
          <c:val>
            <c:numRef>
              <c:f>'Carbon price sweep'!$F$2:$F$42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EC-FC46-B95E-E412A8908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Carbon price (RMB / tCO2)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Share of tonne-kilometres</a:t>
                </a:r>
              </a:p>
            </c:rich>
          </c:tx>
          <c:overlay val="1"/>
        </c:title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0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workbookViewId="0">
      <selection activeCell="B9" sqref="B9"/>
    </sheetView>
  </sheetViews>
  <sheetFormatPr baseColWidth="10" defaultColWidth="8.83203125" defaultRowHeight="15" x14ac:dyDescent="0.2"/>
  <cols>
    <col min="1" max="1" width="20" customWidth="1"/>
    <col min="2" max="2" width="80" customWidth="1"/>
  </cols>
  <sheetData>
    <row r="1" spans="1:2" ht="21" x14ac:dyDescent="0.25">
      <c r="A1" s="1" t="s">
        <v>0</v>
      </c>
    </row>
    <row r="2" spans="1:2" ht="16" x14ac:dyDescent="0.2">
      <c r="A2" s="2" t="s">
        <v>1</v>
      </c>
    </row>
    <row r="4" spans="1:2" x14ac:dyDescent="0.2">
      <c r="A4" s="3" t="s">
        <v>2</v>
      </c>
    </row>
    <row r="6" spans="1:2" x14ac:dyDescent="0.2">
      <c r="A6" s="4" t="s">
        <v>3</v>
      </c>
      <c r="B6" t="s">
        <v>153</v>
      </c>
    </row>
    <row r="7" spans="1:2" x14ac:dyDescent="0.2">
      <c r="A7" s="4" t="s">
        <v>4</v>
      </c>
      <c r="B7" t="s">
        <v>5</v>
      </c>
    </row>
    <row r="8" spans="1:2" x14ac:dyDescent="0.2">
      <c r="A8" s="11" t="s">
        <v>154</v>
      </c>
      <c r="B8" t="s">
        <v>6</v>
      </c>
    </row>
    <row r="9" spans="1:2" x14ac:dyDescent="0.2">
      <c r="A9" s="4" t="s">
        <v>7</v>
      </c>
      <c r="B9" t="s">
        <v>8</v>
      </c>
    </row>
    <row r="11" spans="1:2" ht="16" x14ac:dyDescent="0.2">
      <c r="A11" s="2" t="s">
        <v>9</v>
      </c>
    </row>
    <row r="12" spans="1:2" x14ac:dyDescent="0.2">
      <c r="A12" s="5" t="s">
        <v>10</v>
      </c>
      <c r="B12" t="s">
        <v>11</v>
      </c>
    </row>
    <row r="13" spans="1:2" x14ac:dyDescent="0.2">
      <c r="A13" s="5" t="s">
        <v>12</v>
      </c>
      <c r="B13" t="s">
        <v>13</v>
      </c>
    </row>
    <row r="14" spans="1:2" x14ac:dyDescent="0.2">
      <c r="A14" s="5" t="s">
        <v>14</v>
      </c>
      <c r="B14" t="s">
        <v>15</v>
      </c>
    </row>
    <row r="15" spans="1:2" x14ac:dyDescent="0.2">
      <c r="A15" s="5" t="s">
        <v>16</v>
      </c>
      <c r="B15" t="s">
        <v>17</v>
      </c>
    </row>
    <row r="16" spans="1:2" x14ac:dyDescent="0.2">
      <c r="A16" s="5" t="s">
        <v>18</v>
      </c>
      <c r="B16" t="s">
        <v>19</v>
      </c>
    </row>
    <row r="17" spans="1:6" x14ac:dyDescent="0.2">
      <c r="A17" s="5" t="s">
        <v>20</v>
      </c>
      <c r="B17" t="s">
        <v>21</v>
      </c>
    </row>
    <row r="18" spans="1:6" x14ac:dyDescent="0.2">
      <c r="A18" s="5" t="s">
        <v>22</v>
      </c>
      <c r="B18" t="s">
        <v>23</v>
      </c>
    </row>
    <row r="21" spans="1:6" ht="16" x14ac:dyDescent="0.2">
      <c r="A21" s="2" t="s">
        <v>24</v>
      </c>
    </row>
    <row r="22" spans="1:6" ht="40" customHeight="1" x14ac:dyDescent="0.2">
      <c r="A22" s="9" t="s">
        <v>25</v>
      </c>
      <c r="B22" s="10"/>
      <c r="C22" s="10"/>
      <c r="D22" s="10"/>
      <c r="E22" s="10"/>
      <c r="F22" s="10"/>
    </row>
  </sheetData>
  <mergeCells count="1">
    <mergeCell ref="A22:F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"/>
  <sheetViews>
    <sheetView workbookViewId="0"/>
  </sheetViews>
  <sheetFormatPr baseColWidth="10" defaultColWidth="8.83203125" defaultRowHeight="15" x14ac:dyDescent="0.2"/>
  <cols>
    <col min="1" max="1" width="40" customWidth="1"/>
    <col min="2" max="2" width="25" customWidth="1"/>
    <col min="3" max="3" width="17" customWidth="1"/>
    <col min="4" max="4" width="23" customWidth="1"/>
    <col min="5" max="5" width="20" customWidth="1"/>
    <col min="6" max="6" width="25" customWidth="1"/>
    <col min="7" max="7" width="26" customWidth="1"/>
    <col min="8" max="8" width="40" customWidth="1"/>
    <col min="9" max="10" width="12" customWidth="1"/>
    <col min="11" max="11" width="11" customWidth="1"/>
  </cols>
  <sheetData>
    <row r="1" spans="1:11" ht="19" x14ac:dyDescent="0.25">
      <c r="A1" s="6" t="s">
        <v>26</v>
      </c>
    </row>
    <row r="3" spans="1:11" x14ac:dyDescent="0.2">
      <c r="A3" t="s">
        <v>27</v>
      </c>
      <c r="B3">
        <v>25</v>
      </c>
      <c r="C3" t="s">
        <v>28</v>
      </c>
    </row>
    <row r="4" spans="1:11" x14ac:dyDescent="0.2">
      <c r="A4" t="s">
        <v>29</v>
      </c>
      <c r="B4">
        <v>76</v>
      </c>
      <c r="C4" t="s">
        <v>28</v>
      </c>
    </row>
    <row r="5" spans="1:11" x14ac:dyDescent="0.2">
      <c r="A5" t="s">
        <v>30</v>
      </c>
      <c r="B5">
        <v>500000</v>
      </c>
      <c r="C5" t="s">
        <v>31</v>
      </c>
    </row>
    <row r="7" spans="1:11" x14ac:dyDescent="0.2">
      <c r="A7" t="s">
        <v>32</v>
      </c>
    </row>
    <row r="8" spans="1:11" ht="16" x14ac:dyDescent="0.2">
      <c r="A8" s="7"/>
    </row>
    <row r="9" spans="1:11" x14ac:dyDescent="0.2">
      <c r="A9" s="8" t="s">
        <v>33</v>
      </c>
      <c r="B9" s="8" t="s">
        <v>34</v>
      </c>
      <c r="C9" s="8" t="s">
        <v>35</v>
      </c>
      <c r="D9" s="8" t="s">
        <v>36</v>
      </c>
      <c r="E9" s="8" t="s">
        <v>37</v>
      </c>
      <c r="F9" s="8" t="s">
        <v>38</v>
      </c>
      <c r="G9" s="8" t="s">
        <v>39</v>
      </c>
      <c r="H9" s="8" t="s">
        <v>40</v>
      </c>
      <c r="I9" s="8" t="s">
        <v>41</v>
      </c>
      <c r="J9" s="8" t="s">
        <v>42</v>
      </c>
      <c r="K9" s="8" t="s">
        <v>43</v>
      </c>
    </row>
    <row r="10" spans="1:11" x14ac:dyDescent="0.2">
      <c r="A10" t="s">
        <v>44</v>
      </c>
      <c r="B10">
        <v>0</v>
      </c>
      <c r="C10">
        <v>387406535.25</v>
      </c>
      <c r="D10">
        <v>19584.368999999999</v>
      </c>
      <c r="E10">
        <v>0</v>
      </c>
      <c r="F10">
        <v>0</v>
      </c>
      <c r="G10" t="s">
        <v>45</v>
      </c>
      <c r="H10" t="s">
        <v>46</v>
      </c>
      <c r="I10">
        <v>0.26500000000000001</v>
      </c>
      <c r="J10">
        <v>0.73499999999999999</v>
      </c>
      <c r="K10">
        <v>0</v>
      </c>
    </row>
    <row r="11" spans="1:11" x14ac:dyDescent="0.2">
      <c r="A11" t="s">
        <v>47</v>
      </c>
      <c r="B11">
        <v>25</v>
      </c>
      <c r="C11">
        <v>387473812.05000001</v>
      </c>
      <c r="D11">
        <v>15658.066000000001</v>
      </c>
      <c r="E11">
        <v>0.02</v>
      </c>
      <c r="F11">
        <v>20.05</v>
      </c>
      <c r="G11" t="s">
        <v>45</v>
      </c>
      <c r="H11" t="s">
        <v>46</v>
      </c>
      <c r="I11">
        <v>0.1096</v>
      </c>
      <c r="J11">
        <v>0.89039999999999997</v>
      </c>
      <c r="K11">
        <v>0</v>
      </c>
    </row>
    <row r="12" spans="1:11" x14ac:dyDescent="0.2">
      <c r="A12" t="s">
        <v>48</v>
      </c>
      <c r="B12">
        <v>0</v>
      </c>
      <c r="C12">
        <v>389653690.68000001</v>
      </c>
      <c r="D12">
        <v>14480.932000000001</v>
      </c>
      <c r="E12">
        <v>0.57999999999999996</v>
      </c>
      <c r="F12">
        <v>26.06</v>
      </c>
      <c r="G12" t="s">
        <v>45</v>
      </c>
      <c r="H12" t="s">
        <v>46</v>
      </c>
      <c r="I12">
        <v>3.61E-2</v>
      </c>
      <c r="J12">
        <v>0.89039999999999997</v>
      </c>
      <c r="K12">
        <v>7.3499999999999996E-2</v>
      </c>
    </row>
    <row r="13" spans="1:11" x14ac:dyDescent="0.2">
      <c r="A13" t="s">
        <v>49</v>
      </c>
      <c r="B13">
        <v>0</v>
      </c>
      <c r="C13">
        <v>457945986.20999998</v>
      </c>
      <c r="D13">
        <v>13970.588</v>
      </c>
      <c r="E13">
        <v>18.21</v>
      </c>
      <c r="F13">
        <v>28.66</v>
      </c>
      <c r="G13" t="s">
        <v>50</v>
      </c>
      <c r="H13" t="s">
        <v>46</v>
      </c>
      <c r="I13">
        <v>2.53E-2</v>
      </c>
      <c r="J13">
        <v>0.82920000000000005</v>
      </c>
      <c r="K13">
        <v>0.1454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"/>
  <sheetViews>
    <sheetView workbookViewId="0"/>
  </sheetViews>
  <sheetFormatPr baseColWidth="10" defaultColWidth="8.83203125" defaultRowHeight="15" x14ac:dyDescent="0.2"/>
  <cols>
    <col min="1" max="1" width="7" customWidth="1"/>
    <col min="2" max="2" width="15" customWidth="1"/>
    <col min="3" max="3" width="19" customWidth="1"/>
    <col min="4" max="4" width="23" customWidth="1"/>
    <col min="5" max="5" width="26" customWidth="1"/>
    <col min="6" max="6" width="40" customWidth="1"/>
    <col min="7" max="8" width="12" customWidth="1"/>
    <col min="9" max="9" width="11" customWidth="1"/>
  </cols>
  <sheetData>
    <row r="1" spans="1:9" x14ac:dyDescent="0.2">
      <c r="A1" s="8" t="s">
        <v>51</v>
      </c>
      <c r="B1" s="8" t="s">
        <v>52</v>
      </c>
      <c r="C1" s="8" t="s">
        <v>53</v>
      </c>
      <c r="D1" s="8" t="s">
        <v>36</v>
      </c>
      <c r="E1" s="8" t="s">
        <v>54</v>
      </c>
      <c r="F1" s="8" t="s">
        <v>55</v>
      </c>
      <c r="G1" s="8" t="s">
        <v>41</v>
      </c>
      <c r="H1" s="8" t="s">
        <v>42</v>
      </c>
      <c r="I1" s="8" t="s">
        <v>43</v>
      </c>
    </row>
    <row r="2" spans="1:9" x14ac:dyDescent="0.2">
      <c r="A2">
        <v>0</v>
      </c>
      <c r="B2" t="s">
        <v>56</v>
      </c>
      <c r="C2">
        <v>457.94600000000003</v>
      </c>
      <c r="D2">
        <v>13970.588</v>
      </c>
      <c r="E2" t="s">
        <v>50</v>
      </c>
      <c r="F2" t="s">
        <v>46</v>
      </c>
      <c r="G2">
        <v>2.53E-2</v>
      </c>
      <c r="H2">
        <v>0.82920000000000005</v>
      </c>
      <c r="I2">
        <v>0.1454</v>
      </c>
    </row>
    <row r="3" spans="1:9" x14ac:dyDescent="0.2">
      <c r="A3">
        <v>1</v>
      </c>
      <c r="B3" t="s">
        <v>57</v>
      </c>
      <c r="C3">
        <v>389.654</v>
      </c>
      <c r="D3">
        <v>14480.932000000001</v>
      </c>
      <c r="E3" t="s">
        <v>45</v>
      </c>
      <c r="F3" t="s">
        <v>46</v>
      </c>
      <c r="G3">
        <v>3.61E-2</v>
      </c>
      <c r="H3">
        <v>0.89039999999999997</v>
      </c>
      <c r="I3">
        <v>7.3499999999999996E-2</v>
      </c>
    </row>
    <row r="4" spans="1:9" x14ac:dyDescent="0.2">
      <c r="A4">
        <v>2</v>
      </c>
      <c r="B4" t="s">
        <v>58</v>
      </c>
      <c r="C4">
        <v>388.709</v>
      </c>
      <c r="D4">
        <v>14991.276</v>
      </c>
      <c r="E4" t="s">
        <v>45</v>
      </c>
      <c r="F4" t="s">
        <v>46</v>
      </c>
      <c r="G4">
        <v>6.7900000000000002E-2</v>
      </c>
      <c r="H4">
        <v>0.89039999999999997</v>
      </c>
      <c r="I4">
        <v>4.1599999999999998E-2</v>
      </c>
    </row>
    <row r="5" spans="1:9" x14ac:dyDescent="0.2">
      <c r="A5">
        <v>3</v>
      </c>
      <c r="B5" t="s">
        <v>59</v>
      </c>
      <c r="C5">
        <v>387.76400000000001</v>
      </c>
      <c r="D5">
        <v>15501.619000000001</v>
      </c>
      <c r="E5" t="s">
        <v>45</v>
      </c>
      <c r="F5" t="s">
        <v>46</v>
      </c>
      <c r="G5">
        <v>9.98E-2</v>
      </c>
      <c r="H5">
        <v>0.89039999999999997</v>
      </c>
      <c r="I5">
        <v>9.7999999999999997E-3</v>
      </c>
    </row>
    <row r="6" spans="1:9" x14ac:dyDescent="0.2">
      <c r="A6">
        <v>4</v>
      </c>
      <c r="B6" t="s">
        <v>60</v>
      </c>
      <c r="C6">
        <v>387.46800000000002</v>
      </c>
      <c r="D6">
        <v>16011.963</v>
      </c>
      <c r="E6" t="s">
        <v>45</v>
      </c>
      <c r="F6" t="s">
        <v>46</v>
      </c>
      <c r="G6">
        <v>0.1237</v>
      </c>
      <c r="H6">
        <v>0.87629999999999997</v>
      </c>
      <c r="I6">
        <v>0</v>
      </c>
    </row>
    <row r="7" spans="1:9" x14ac:dyDescent="0.2">
      <c r="A7">
        <v>5</v>
      </c>
      <c r="B7" t="s">
        <v>61</v>
      </c>
      <c r="C7">
        <v>387.459</v>
      </c>
      <c r="D7">
        <v>16522.307000000001</v>
      </c>
      <c r="E7" t="s">
        <v>45</v>
      </c>
      <c r="F7" t="s">
        <v>46</v>
      </c>
      <c r="G7">
        <v>0.14410000000000001</v>
      </c>
      <c r="H7">
        <v>0.85589999999999999</v>
      </c>
      <c r="I7">
        <v>0</v>
      </c>
    </row>
    <row r="8" spans="1:9" x14ac:dyDescent="0.2">
      <c r="A8">
        <v>6</v>
      </c>
      <c r="B8" t="s">
        <v>62</v>
      </c>
      <c r="C8">
        <v>387.45</v>
      </c>
      <c r="D8">
        <v>17032.650000000001</v>
      </c>
      <c r="E8" t="s">
        <v>45</v>
      </c>
      <c r="F8" t="s">
        <v>46</v>
      </c>
      <c r="G8">
        <v>0.16439999999999999</v>
      </c>
      <c r="H8">
        <v>0.83560000000000001</v>
      </c>
      <c r="I8">
        <v>0</v>
      </c>
    </row>
    <row r="9" spans="1:9" x14ac:dyDescent="0.2">
      <c r="A9">
        <v>7</v>
      </c>
      <c r="B9" t="s">
        <v>63</v>
      </c>
      <c r="C9">
        <v>387.44200000000001</v>
      </c>
      <c r="D9">
        <v>17542.993999999999</v>
      </c>
      <c r="E9" t="s">
        <v>45</v>
      </c>
      <c r="F9" t="s">
        <v>46</v>
      </c>
      <c r="G9">
        <v>0.18459999999999999</v>
      </c>
      <c r="H9">
        <v>0.81540000000000001</v>
      </c>
      <c r="I9">
        <v>0</v>
      </c>
    </row>
    <row r="10" spans="1:9" x14ac:dyDescent="0.2">
      <c r="A10">
        <v>8</v>
      </c>
      <c r="B10" t="s">
        <v>64</v>
      </c>
      <c r="C10">
        <v>387.43299999999999</v>
      </c>
      <c r="D10">
        <v>18053.338</v>
      </c>
      <c r="E10" t="s">
        <v>45</v>
      </c>
      <c r="F10" t="s">
        <v>46</v>
      </c>
      <c r="G10">
        <v>0.20480000000000001</v>
      </c>
      <c r="H10">
        <v>0.79520000000000002</v>
      </c>
      <c r="I10">
        <v>0</v>
      </c>
    </row>
    <row r="11" spans="1:9" x14ac:dyDescent="0.2">
      <c r="A11">
        <v>9</v>
      </c>
      <c r="B11" t="s">
        <v>65</v>
      </c>
      <c r="C11">
        <v>387.42399999999998</v>
      </c>
      <c r="D11">
        <v>18563.682000000001</v>
      </c>
      <c r="E11" t="s">
        <v>45</v>
      </c>
      <c r="F11" t="s">
        <v>46</v>
      </c>
      <c r="G11">
        <v>0.22489999999999999</v>
      </c>
      <c r="H11">
        <v>0.77510000000000001</v>
      </c>
      <c r="I11">
        <v>0</v>
      </c>
    </row>
    <row r="12" spans="1:9" x14ac:dyDescent="0.2">
      <c r="A12">
        <v>10</v>
      </c>
      <c r="B12" t="s">
        <v>66</v>
      </c>
      <c r="C12">
        <v>387.41500000000002</v>
      </c>
      <c r="D12">
        <v>19074.025000000001</v>
      </c>
      <c r="E12" t="s">
        <v>45</v>
      </c>
      <c r="F12" t="s">
        <v>46</v>
      </c>
      <c r="G12">
        <v>0.245</v>
      </c>
      <c r="H12">
        <v>0.755</v>
      </c>
      <c r="I12">
        <v>0</v>
      </c>
    </row>
    <row r="13" spans="1:9" x14ac:dyDescent="0.2">
      <c r="A13">
        <v>11</v>
      </c>
      <c r="B13" t="s">
        <v>67</v>
      </c>
      <c r="C13">
        <v>387.40699999999998</v>
      </c>
      <c r="D13">
        <v>19584.368999999999</v>
      </c>
      <c r="E13" t="s">
        <v>45</v>
      </c>
      <c r="F13" t="s">
        <v>46</v>
      </c>
      <c r="G13">
        <v>0.26500000000000001</v>
      </c>
      <c r="H13">
        <v>0.73499999999999999</v>
      </c>
      <c r="I13">
        <v>0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2"/>
  <sheetViews>
    <sheetView workbookViewId="0"/>
  </sheetViews>
  <sheetFormatPr baseColWidth="10" defaultColWidth="8.83203125" defaultRowHeight="15" x14ac:dyDescent="0.2"/>
  <cols>
    <col min="1" max="1" width="25" customWidth="1"/>
    <col min="2" max="2" width="19" customWidth="1"/>
    <col min="3" max="3" width="23" customWidth="1"/>
    <col min="4" max="5" width="12" customWidth="1"/>
    <col min="6" max="6" width="11" customWidth="1"/>
    <col min="7" max="7" width="12" customWidth="1"/>
    <col min="8" max="8" width="40" customWidth="1"/>
  </cols>
  <sheetData>
    <row r="1" spans="1:8" x14ac:dyDescent="0.2">
      <c r="A1" s="8" t="s">
        <v>34</v>
      </c>
      <c r="B1" s="8" t="s">
        <v>53</v>
      </c>
      <c r="C1" s="8" t="s">
        <v>36</v>
      </c>
      <c r="D1" s="8" t="s">
        <v>41</v>
      </c>
      <c r="E1" s="8" t="s">
        <v>42</v>
      </c>
      <c r="F1" s="8" t="s">
        <v>43</v>
      </c>
      <c r="G1" s="8" t="s">
        <v>54</v>
      </c>
      <c r="H1" s="8" t="s">
        <v>55</v>
      </c>
    </row>
    <row r="2" spans="1:8" x14ac:dyDescent="0.2">
      <c r="A2">
        <v>0</v>
      </c>
      <c r="B2">
        <v>387.40699999999998</v>
      </c>
      <c r="C2">
        <v>19584.368999999999</v>
      </c>
      <c r="D2">
        <v>0.26500000000000001</v>
      </c>
      <c r="E2">
        <v>0.73499999999999999</v>
      </c>
      <c r="F2">
        <v>0</v>
      </c>
      <c r="G2" t="s">
        <v>45</v>
      </c>
      <c r="H2" t="s">
        <v>46</v>
      </c>
    </row>
    <row r="3" spans="1:8" x14ac:dyDescent="0.2">
      <c r="A3">
        <v>25</v>
      </c>
      <c r="B3">
        <v>387.47399999999999</v>
      </c>
      <c r="C3">
        <v>15658.066000000001</v>
      </c>
      <c r="D3">
        <v>0.1096</v>
      </c>
      <c r="E3">
        <v>0.89039999999999997</v>
      </c>
      <c r="F3">
        <v>0</v>
      </c>
      <c r="G3" t="s">
        <v>45</v>
      </c>
      <c r="H3" t="s">
        <v>46</v>
      </c>
    </row>
    <row r="4" spans="1:8" x14ac:dyDescent="0.2">
      <c r="A4">
        <v>50</v>
      </c>
      <c r="B4">
        <v>387.47399999999999</v>
      </c>
      <c r="C4">
        <v>15658.066000000001</v>
      </c>
      <c r="D4">
        <v>0.1096</v>
      </c>
      <c r="E4">
        <v>0.89039999999999997</v>
      </c>
      <c r="F4">
        <v>0</v>
      </c>
      <c r="G4" t="s">
        <v>45</v>
      </c>
      <c r="H4" t="s">
        <v>46</v>
      </c>
    </row>
    <row r="5" spans="1:8" x14ac:dyDescent="0.2">
      <c r="A5">
        <v>75</v>
      </c>
      <c r="B5">
        <v>387.47399999999999</v>
      </c>
      <c r="C5">
        <v>15658.066000000001</v>
      </c>
      <c r="D5">
        <v>0.1096</v>
      </c>
      <c r="E5">
        <v>0.89039999999999997</v>
      </c>
      <c r="F5">
        <v>0</v>
      </c>
      <c r="G5" t="s">
        <v>45</v>
      </c>
      <c r="H5" t="s">
        <v>46</v>
      </c>
    </row>
    <row r="6" spans="1:8" x14ac:dyDescent="0.2">
      <c r="A6">
        <v>100</v>
      </c>
      <c r="B6">
        <v>387.47399999999999</v>
      </c>
      <c r="C6">
        <v>15658.066000000001</v>
      </c>
      <c r="D6">
        <v>0.1096</v>
      </c>
      <c r="E6">
        <v>0.89039999999999997</v>
      </c>
      <c r="F6">
        <v>0</v>
      </c>
      <c r="G6" t="s">
        <v>45</v>
      </c>
      <c r="H6" t="s">
        <v>46</v>
      </c>
    </row>
    <row r="7" spans="1:8" x14ac:dyDescent="0.2">
      <c r="A7">
        <v>125</v>
      </c>
      <c r="B7">
        <v>387.47399999999999</v>
      </c>
      <c r="C7">
        <v>15658.066000000001</v>
      </c>
      <c r="D7">
        <v>0.1096</v>
      </c>
      <c r="E7">
        <v>0.89039999999999997</v>
      </c>
      <c r="F7">
        <v>0</v>
      </c>
      <c r="G7" t="s">
        <v>45</v>
      </c>
      <c r="H7" t="s">
        <v>46</v>
      </c>
    </row>
    <row r="8" spans="1:8" x14ac:dyDescent="0.2">
      <c r="A8">
        <v>150</v>
      </c>
      <c r="B8">
        <v>387.47399999999999</v>
      </c>
      <c r="C8">
        <v>15658.066000000001</v>
      </c>
      <c r="D8">
        <v>0.1096</v>
      </c>
      <c r="E8">
        <v>0.89039999999999997</v>
      </c>
      <c r="F8">
        <v>0</v>
      </c>
      <c r="G8" t="s">
        <v>45</v>
      </c>
      <c r="H8" t="s">
        <v>46</v>
      </c>
    </row>
    <row r="9" spans="1:8" x14ac:dyDescent="0.2">
      <c r="A9">
        <v>175</v>
      </c>
      <c r="B9">
        <v>387.47399999999999</v>
      </c>
      <c r="C9">
        <v>15658.066000000001</v>
      </c>
      <c r="D9">
        <v>0.1096</v>
      </c>
      <c r="E9">
        <v>0.89039999999999997</v>
      </c>
      <c r="F9">
        <v>0</v>
      </c>
      <c r="G9" t="s">
        <v>45</v>
      </c>
      <c r="H9" t="s">
        <v>46</v>
      </c>
    </row>
    <row r="10" spans="1:8" x14ac:dyDescent="0.2">
      <c r="A10">
        <v>200</v>
      </c>
      <c r="B10">
        <v>387.47399999999999</v>
      </c>
      <c r="C10">
        <v>15658.066000000001</v>
      </c>
      <c r="D10">
        <v>0.1096</v>
      </c>
      <c r="E10">
        <v>0.89039999999999997</v>
      </c>
      <c r="F10">
        <v>0</v>
      </c>
      <c r="G10" t="s">
        <v>45</v>
      </c>
      <c r="H10" t="s">
        <v>46</v>
      </c>
    </row>
    <row r="11" spans="1:8" x14ac:dyDescent="0.2">
      <c r="A11">
        <v>225</v>
      </c>
      <c r="B11">
        <v>387.47399999999999</v>
      </c>
      <c r="C11">
        <v>15658.066000000001</v>
      </c>
      <c r="D11">
        <v>0.1096</v>
      </c>
      <c r="E11">
        <v>0.89039999999999997</v>
      </c>
      <c r="F11">
        <v>0</v>
      </c>
      <c r="G11" t="s">
        <v>45</v>
      </c>
      <c r="H11" t="s">
        <v>46</v>
      </c>
    </row>
    <row r="12" spans="1:8" x14ac:dyDescent="0.2">
      <c r="A12">
        <v>250</v>
      </c>
      <c r="B12">
        <v>387.47399999999999</v>
      </c>
      <c r="C12">
        <v>15658.066000000001</v>
      </c>
      <c r="D12">
        <v>0.1096</v>
      </c>
      <c r="E12">
        <v>0.89039999999999997</v>
      </c>
      <c r="F12">
        <v>0</v>
      </c>
      <c r="G12" t="s">
        <v>45</v>
      </c>
      <c r="H12" t="s">
        <v>46</v>
      </c>
    </row>
    <row r="13" spans="1:8" x14ac:dyDescent="0.2">
      <c r="A13">
        <v>275</v>
      </c>
      <c r="B13">
        <v>387.47399999999999</v>
      </c>
      <c r="C13">
        <v>15658.066000000001</v>
      </c>
      <c r="D13">
        <v>0.1096</v>
      </c>
      <c r="E13">
        <v>0.89039999999999997</v>
      </c>
      <c r="F13">
        <v>0</v>
      </c>
      <c r="G13" t="s">
        <v>45</v>
      </c>
      <c r="H13" t="s">
        <v>46</v>
      </c>
    </row>
    <row r="14" spans="1:8" x14ac:dyDescent="0.2">
      <c r="A14">
        <v>300</v>
      </c>
      <c r="B14">
        <v>387.47399999999999</v>
      </c>
      <c r="C14">
        <v>15658.066000000001</v>
      </c>
      <c r="D14">
        <v>0.1096</v>
      </c>
      <c r="E14">
        <v>0.89039999999999997</v>
      </c>
      <c r="F14">
        <v>0</v>
      </c>
      <c r="G14" t="s">
        <v>45</v>
      </c>
      <c r="H14" t="s">
        <v>46</v>
      </c>
    </row>
    <row r="15" spans="1:8" x14ac:dyDescent="0.2">
      <c r="A15">
        <v>325</v>
      </c>
      <c r="B15">
        <v>387.47399999999999</v>
      </c>
      <c r="C15">
        <v>15658.066000000001</v>
      </c>
      <c r="D15">
        <v>0.1096</v>
      </c>
      <c r="E15">
        <v>0.89039999999999997</v>
      </c>
      <c r="F15">
        <v>0</v>
      </c>
      <c r="G15" t="s">
        <v>45</v>
      </c>
      <c r="H15" t="s">
        <v>46</v>
      </c>
    </row>
    <row r="16" spans="1:8" x14ac:dyDescent="0.2">
      <c r="A16">
        <v>350</v>
      </c>
      <c r="B16">
        <v>387.47399999999999</v>
      </c>
      <c r="C16">
        <v>15658.066000000001</v>
      </c>
      <c r="D16">
        <v>0.1096</v>
      </c>
      <c r="E16">
        <v>0.89039999999999997</v>
      </c>
      <c r="F16">
        <v>0</v>
      </c>
      <c r="G16" t="s">
        <v>45</v>
      </c>
      <c r="H16" t="s">
        <v>46</v>
      </c>
    </row>
    <row r="17" spans="1:8" x14ac:dyDescent="0.2">
      <c r="A17">
        <v>375</v>
      </c>
      <c r="B17">
        <v>387.47399999999999</v>
      </c>
      <c r="C17">
        <v>15658.066000000001</v>
      </c>
      <c r="D17">
        <v>0.1096</v>
      </c>
      <c r="E17">
        <v>0.89039999999999997</v>
      </c>
      <c r="F17">
        <v>0</v>
      </c>
      <c r="G17" t="s">
        <v>45</v>
      </c>
      <c r="H17" t="s">
        <v>46</v>
      </c>
    </row>
    <row r="18" spans="1:8" x14ac:dyDescent="0.2">
      <c r="A18">
        <v>400</v>
      </c>
      <c r="B18">
        <v>387.47399999999999</v>
      </c>
      <c r="C18">
        <v>15658.066000000001</v>
      </c>
      <c r="D18">
        <v>0.1096</v>
      </c>
      <c r="E18">
        <v>0.89039999999999997</v>
      </c>
      <c r="F18">
        <v>0</v>
      </c>
      <c r="G18" t="s">
        <v>45</v>
      </c>
      <c r="H18" t="s">
        <v>46</v>
      </c>
    </row>
    <row r="19" spans="1:8" x14ac:dyDescent="0.2">
      <c r="A19">
        <v>425</v>
      </c>
      <c r="B19">
        <v>387.47399999999999</v>
      </c>
      <c r="C19">
        <v>15658.066000000001</v>
      </c>
      <c r="D19">
        <v>0.1096</v>
      </c>
      <c r="E19">
        <v>0.89039999999999997</v>
      </c>
      <c r="F19">
        <v>0</v>
      </c>
      <c r="G19" t="s">
        <v>45</v>
      </c>
      <c r="H19" t="s">
        <v>46</v>
      </c>
    </row>
    <row r="20" spans="1:8" x14ac:dyDescent="0.2">
      <c r="A20">
        <v>450</v>
      </c>
      <c r="B20">
        <v>387.47399999999999</v>
      </c>
      <c r="C20">
        <v>15658.066000000001</v>
      </c>
      <c r="D20">
        <v>0.1096</v>
      </c>
      <c r="E20">
        <v>0.89039999999999997</v>
      </c>
      <c r="F20">
        <v>0</v>
      </c>
      <c r="G20" t="s">
        <v>45</v>
      </c>
      <c r="H20" t="s">
        <v>46</v>
      </c>
    </row>
    <row r="21" spans="1:8" x14ac:dyDescent="0.2">
      <c r="A21">
        <v>475</v>
      </c>
      <c r="B21">
        <v>387.47399999999999</v>
      </c>
      <c r="C21">
        <v>15658.066000000001</v>
      </c>
      <c r="D21">
        <v>0.1096</v>
      </c>
      <c r="E21">
        <v>0.89039999999999997</v>
      </c>
      <c r="F21">
        <v>0</v>
      </c>
      <c r="G21" t="s">
        <v>45</v>
      </c>
      <c r="H21" t="s">
        <v>46</v>
      </c>
    </row>
    <row r="22" spans="1:8" x14ac:dyDescent="0.2">
      <c r="A22">
        <v>500</v>
      </c>
      <c r="B22">
        <v>387.47399999999999</v>
      </c>
      <c r="C22">
        <v>15658.066000000001</v>
      </c>
      <c r="D22">
        <v>0.1096</v>
      </c>
      <c r="E22">
        <v>0.89039999999999997</v>
      </c>
      <c r="F22">
        <v>0</v>
      </c>
      <c r="G22" t="s">
        <v>45</v>
      </c>
      <c r="H22" t="s">
        <v>46</v>
      </c>
    </row>
    <row r="23" spans="1:8" x14ac:dyDescent="0.2">
      <c r="A23">
        <v>525</v>
      </c>
      <c r="B23">
        <v>387.47399999999999</v>
      </c>
      <c r="C23">
        <v>15658.066000000001</v>
      </c>
      <c r="D23">
        <v>0.1096</v>
      </c>
      <c r="E23">
        <v>0.89039999999999997</v>
      </c>
      <c r="F23">
        <v>0</v>
      </c>
      <c r="G23" t="s">
        <v>45</v>
      </c>
      <c r="H23" t="s">
        <v>46</v>
      </c>
    </row>
    <row r="24" spans="1:8" x14ac:dyDescent="0.2">
      <c r="A24">
        <v>550</v>
      </c>
      <c r="B24">
        <v>387.47399999999999</v>
      </c>
      <c r="C24">
        <v>15658.066000000001</v>
      </c>
      <c r="D24">
        <v>0.1096</v>
      </c>
      <c r="E24">
        <v>0.89039999999999997</v>
      </c>
      <c r="F24">
        <v>0</v>
      </c>
      <c r="G24" t="s">
        <v>45</v>
      </c>
      <c r="H24" t="s">
        <v>46</v>
      </c>
    </row>
    <row r="25" spans="1:8" x14ac:dyDescent="0.2">
      <c r="A25">
        <v>575</v>
      </c>
      <c r="B25">
        <v>387.47399999999999</v>
      </c>
      <c r="C25">
        <v>15658.066000000001</v>
      </c>
      <c r="D25">
        <v>0.1096</v>
      </c>
      <c r="E25">
        <v>0.89039999999999997</v>
      </c>
      <c r="F25">
        <v>0</v>
      </c>
      <c r="G25" t="s">
        <v>45</v>
      </c>
      <c r="H25" t="s">
        <v>46</v>
      </c>
    </row>
    <row r="26" spans="1:8" x14ac:dyDescent="0.2">
      <c r="A26">
        <v>600</v>
      </c>
      <c r="B26">
        <v>387.47399999999999</v>
      </c>
      <c r="C26">
        <v>15658.066000000001</v>
      </c>
      <c r="D26">
        <v>0.1096</v>
      </c>
      <c r="E26">
        <v>0.89039999999999997</v>
      </c>
      <c r="F26">
        <v>0</v>
      </c>
      <c r="G26" t="s">
        <v>45</v>
      </c>
      <c r="H26" t="s">
        <v>46</v>
      </c>
    </row>
    <row r="27" spans="1:8" x14ac:dyDescent="0.2">
      <c r="A27">
        <v>625</v>
      </c>
      <c r="B27">
        <v>387.47399999999999</v>
      </c>
      <c r="C27">
        <v>15658.066000000001</v>
      </c>
      <c r="D27">
        <v>0.1096</v>
      </c>
      <c r="E27">
        <v>0.89039999999999997</v>
      </c>
      <c r="F27">
        <v>0</v>
      </c>
      <c r="G27" t="s">
        <v>45</v>
      </c>
      <c r="H27" t="s">
        <v>46</v>
      </c>
    </row>
    <row r="28" spans="1:8" x14ac:dyDescent="0.2">
      <c r="A28">
        <v>650</v>
      </c>
      <c r="B28">
        <v>387.47399999999999</v>
      </c>
      <c r="C28">
        <v>15658.066000000001</v>
      </c>
      <c r="D28">
        <v>0.1096</v>
      </c>
      <c r="E28">
        <v>0.89039999999999997</v>
      </c>
      <c r="F28">
        <v>0</v>
      </c>
      <c r="G28" t="s">
        <v>45</v>
      </c>
      <c r="H28" t="s">
        <v>46</v>
      </c>
    </row>
    <row r="29" spans="1:8" x14ac:dyDescent="0.2">
      <c r="A29">
        <v>675</v>
      </c>
      <c r="B29">
        <v>387.47399999999999</v>
      </c>
      <c r="C29">
        <v>15658.066000000001</v>
      </c>
      <c r="D29">
        <v>0.1096</v>
      </c>
      <c r="E29">
        <v>0.89039999999999997</v>
      </c>
      <c r="F29">
        <v>0</v>
      </c>
      <c r="G29" t="s">
        <v>45</v>
      </c>
      <c r="H29" t="s">
        <v>46</v>
      </c>
    </row>
    <row r="30" spans="1:8" x14ac:dyDescent="0.2">
      <c r="A30">
        <v>700</v>
      </c>
      <c r="B30">
        <v>387.47399999999999</v>
      </c>
      <c r="C30">
        <v>15658.066000000001</v>
      </c>
      <c r="D30">
        <v>0.1096</v>
      </c>
      <c r="E30">
        <v>0.89039999999999997</v>
      </c>
      <c r="F30">
        <v>0</v>
      </c>
      <c r="G30" t="s">
        <v>45</v>
      </c>
      <c r="H30" t="s">
        <v>46</v>
      </c>
    </row>
    <row r="31" spans="1:8" x14ac:dyDescent="0.2">
      <c r="A31">
        <v>725</v>
      </c>
      <c r="B31">
        <v>387.47399999999999</v>
      </c>
      <c r="C31">
        <v>15658.066000000001</v>
      </c>
      <c r="D31">
        <v>0.1096</v>
      </c>
      <c r="E31">
        <v>0.89039999999999997</v>
      </c>
      <c r="F31">
        <v>0</v>
      </c>
      <c r="G31" t="s">
        <v>45</v>
      </c>
      <c r="H31" t="s">
        <v>46</v>
      </c>
    </row>
    <row r="32" spans="1:8" x14ac:dyDescent="0.2">
      <c r="A32">
        <v>750</v>
      </c>
      <c r="B32">
        <v>387.47399999999999</v>
      </c>
      <c r="C32">
        <v>15658.066000000001</v>
      </c>
      <c r="D32">
        <v>0.1096</v>
      </c>
      <c r="E32">
        <v>0.89039999999999997</v>
      </c>
      <c r="F32">
        <v>0</v>
      </c>
      <c r="G32" t="s">
        <v>45</v>
      </c>
      <c r="H32" t="s">
        <v>46</v>
      </c>
    </row>
    <row r="33" spans="1:8" x14ac:dyDescent="0.2">
      <c r="A33">
        <v>775</v>
      </c>
      <c r="B33">
        <v>387.47399999999999</v>
      </c>
      <c r="C33">
        <v>15658.066000000001</v>
      </c>
      <c r="D33">
        <v>0.1096</v>
      </c>
      <c r="E33">
        <v>0.89039999999999997</v>
      </c>
      <c r="F33">
        <v>0</v>
      </c>
      <c r="G33" t="s">
        <v>45</v>
      </c>
      <c r="H33" t="s">
        <v>46</v>
      </c>
    </row>
    <row r="34" spans="1:8" x14ac:dyDescent="0.2">
      <c r="A34">
        <v>800</v>
      </c>
      <c r="B34">
        <v>387.47399999999999</v>
      </c>
      <c r="C34">
        <v>15658.066000000001</v>
      </c>
      <c r="D34">
        <v>0.1096</v>
      </c>
      <c r="E34">
        <v>0.89039999999999997</v>
      </c>
      <c r="F34">
        <v>0</v>
      </c>
      <c r="G34" t="s">
        <v>45</v>
      </c>
      <c r="H34" t="s">
        <v>46</v>
      </c>
    </row>
    <row r="35" spans="1:8" x14ac:dyDescent="0.2">
      <c r="A35">
        <v>825</v>
      </c>
      <c r="B35">
        <v>387.47399999999999</v>
      </c>
      <c r="C35">
        <v>15658.066000000001</v>
      </c>
      <c r="D35">
        <v>0.1096</v>
      </c>
      <c r="E35">
        <v>0.89039999999999997</v>
      </c>
      <c r="F35">
        <v>0</v>
      </c>
      <c r="G35" t="s">
        <v>45</v>
      </c>
      <c r="H35" t="s">
        <v>46</v>
      </c>
    </row>
    <row r="36" spans="1:8" x14ac:dyDescent="0.2">
      <c r="A36">
        <v>850</v>
      </c>
      <c r="B36">
        <v>387.47399999999999</v>
      </c>
      <c r="C36">
        <v>15658.066000000001</v>
      </c>
      <c r="D36">
        <v>0.1096</v>
      </c>
      <c r="E36">
        <v>0.89039999999999997</v>
      </c>
      <c r="F36">
        <v>0</v>
      </c>
      <c r="G36" t="s">
        <v>45</v>
      </c>
      <c r="H36" t="s">
        <v>46</v>
      </c>
    </row>
    <row r="37" spans="1:8" x14ac:dyDescent="0.2">
      <c r="A37">
        <v>875</v>
      </c>
      <c r="B37">
        <v>387.47399999999999</v>
      </c>
      <c r="C37">
        <v>15658.066000000001</v>
      </c>
      <c r="D37">
        <v>0.1096</v>
      </c>
      <c r="E37">
        <v>0.89039999999999997</v>
      </c>
      <c r="F37">
        <v>0</v>
      </c>
      <c r="G37" t="s">
        <v>45</v>
      </c>
      <c r="H37" t="s">
        <v>46</v>
      </c>
    </row>
    <row r="38" spans="1:8" x14ac:dyDescent="0.2">
      <c r="A38">
        <v>900</v>
      </c>
      <c r="B38">
        <v>387.47399999999999</v>
      </c>
      <c r="C38">
        <v>15658.066000000001</v>
      </c>
      <c r="D38">
        <v>0.1096</v>
      </c>
      <c r="E38">
        <v>0.89039999999999997</v>
      </c>
      <c r="F38">
        <v>0</v>
      </c>
      <c r="G38" t="s">
        <v>45</v>
      </c>
      <c r="H38" t="s">
        <v>46</v>
      </c>
    </row>
    <row r="39" spans="1:8" x14ac:dyDescent="0.2">
      <c r="A39">
        <v>925</v>
      </c>
      <c r="B39">
        <v>387.47399999999999</v>
      </c>
      <c r="C39">
        <v>15658.066000000001</v>
      </c>
      <c r="D39">
        <v>0.1096</v>
      </c>
      <c r="E39">
        <v>0.89039999999999997</v>
      </c>
      <c r="F39">
        <v>0</v>
      </c>
      <c r="G39" t="s">
        <v>45</v>
      </c>
      <c r="H39" t="s">
        <v>46</v>
      </c>
    </row>
    <row r="40" spans="1:8" x14ac:dyDescent="0.2">
      <c r="A40">
        <v>950</v>
      </c>
      <c r="B40">
        <v>387.47399999999999</v>
      </c>
      <c r="C40">
        <v>15658.066000000001</v>
      </c>
      <c r="D40">
        <v>0.1096</v>
      </c>
      <c r="E40">
        <v>0.89039999999999997</v>
      </c>
      <c r="F40">
        <v>0</v>
      </c>
      <c r="G40" t="s">
        <v>45</v>
      </c>
      <c r="H40" t="s">
        <v>46</v>
      </c>
    </row>
    <row r="41" spans="1:8" x14ac:dyDescent="0.2">
      <c r="A41">
        <v>975</v>
      </c>
      <c r="B41">
        <v>387.47399999999999</v>
      </c>
      <c r="C41">
        <v>15658.066000000001</v>
      </c>
      <c r="D41">
        <v>0.1096</v>
      </c>
      <c r="E41">
        <v>0.89039999999999997</v>
      </c>
      <c r="F41">
        <v>0</v>
      </c>
      <c r="G41" t="s">
        <v>45</v>
      </c>
      <c r="H41" t="s">
        <v>46</v>
      </c>
    </row>
    <row r="42" spans="1:8" x14ac:dyDescent="0.2">
      <c r="A42">
        <v>1000</v>
      </c>
      <c r="B42">
        <v>387.47399999999999</v>
      </c>
      <c r="C42">
        <v>15658.066000000001</v>
      </c>
      <c r="D42">
        <v>0.1096</v>
      </c>
      <c r="E42">
        <v>0.89039999999999997</v>
      </c>
      <c r="F42">
        <v>0</v>
      </c>
      <c r="G42" t="s">
        <v>45</v>
      </c>
      <c r="H42" t="s">
        <v>46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/>
  </sheetViews>
  <sheetFormatPr baseColWidth="10" defaultColWidth="8.83203125" defaultRowHeight="15" x14ac:dyDescent="0.2"/>
  <cols>
    <col min="1" max="1" width="14" customWidth="1"/>
    <col min="2" max="2" width="10" customWidth="1"/>
    <col min="3" max="3" width="24" customWidth="1"/>
    <col min="4" max="4" width="11" customWidth="1"/>
    <col min="5" max="5" width="10" customWidth="1"/>
    <col min="6" max="8" width="15" customWidth="1"/>
  </cols>
  <sheetData>
    <row r="1" spans="1:8" x14ac:dyDescent="0.2">
      <c r="A1" s="8" t="s">
        <v>68</v>
      </c>
      <c r="B1" s="8" t="s">
        <v>69</v>
      </c>
      <c r="C1" s="8" t="s">
        <v>70</v>
      </c>
      <c r="D1" s="8" t="s">
        <v>71</v>
      </c>
      <c r="E1" s="8" t="s">
        <v>72</v>
      </c>
      <c r="F1" s="8" t="s">
        <v>73</v>
      </c>
      <c r="G1" s="8" t="s">
        <v>74</v>
      </c>
      <c r="H1" s="8" t="s">
        <v>75</v>
      </c>
    </row>
    <row r="2" spans="1:8" x14ac:dyDescent="0.2">
      <c r="A2" t="s">
        <v>76</v>
      </c>
      <c r="B2" t="s">
        <v>77</v>
      </c>
      <c r="C2" t="s">
        <v>78</v>
      </c>
      <c r="D2">
        <v>113.27</v>
      </c>
      <c r="E2">
        <v>23.13</v>
      </c>
      <c r="F2" t="s">
        <v>79</v>
      </c>
      <c r="G2" t="s">
        <v>79</v>
      </c>
      <c r="H2" t="s">
        <v>79</v>
      </c>
    </row>
    <row r="3" spans="1:8" x14ac:dyDescent="0.2">
      <c r="A3" t="s">
        <v>80</v>
      </c>
      <c r="B3" t="s">
        <v>77</v>
      </c>
      <c r="C3" t="s">
        <v>81</v>
      </c>
      <c r="D3">
        <v>120.62</v>
      </c>
      <c r="E3">
        <v>31.32</v>
      </c>
      <c r="F3" t="s">
        <v>79</v>
      </c>
      <c r="G3" t="s">
        <v>79</v>
      </c>
      <c r="H3" t="s">
        <v>79</v>
      </c>
    </row>
    <row r="4" spans="1:8" x14ac:dyDescent="0.2">
      <c r="A4" t="s">
        <v>82</v>
      </c>
      <c r="B4" t="s">
        <v>77</v>
      </c>
      <c r="C4" t="s">
        <v>83</v>
      </c>
      <c r="D4">
        <v>117.2</v>
      </c>
      <c r="E4">
        <v>39.130000000000003</v>
      </c>
      <c r="F4" t="s">
        <v>79</v>
      </c>
      <c r="G4" t="s">
        <v>79</v>
      </c>
      <c r="H4" t="s">
        <v>79</v>
      </c>
    </row>
    <row r="5" spans="1:8" x14ac:dyDescent="0.2">
      <c r="A5" t="s">
        <v>45</v>
      </c>
      <c r="B5" t="s">
        <v>84</v>
      </c>
      <c r="C5" t="s">
        <v>85</v>
      </c>
      <c r="D5">
        <v>120.62</v>
      </c>
      <c r="E5">
        <v>31.32</v>
      </c>
      <c r="F5" t="s">
        <v>79</v>
      </c>
      <c r="G5" t="s">
        <v>79</v>
      </c>
      <c r="H5" t="s">
        <v>79</v>
      </c>
    </row>
    <row r="6" spans="1:8" x14ac:dyDescent="0.2">
      <c r="A6" t="s">
        <v>86</v>
      </c>
      <c r="B6" t="s">
        <v>84</v>
      </c>
      <c r="C6" t="s">
        <v>87</v>
      </c>
      <c r="D6">
        <v>106.55</v>
      </c>
      <c r="E6">
        <v>29.56</v>
      </c>
      <c r="F6" t="s">
        <v>88</v>
      </c>
      <c r="G6" t="s">
        <v>88</v>
      </c>
      <c r="H6" t="s">
        <v>79</v>
      </c>
    </row>
    <row r="7" spans="1:8" x14ac:dyDescent="0.2">
      <c r="A7" t="s">
        <v>89</v>
      </c>
      <c r="B7" t="s">
        <v>90</v>
      </c>
      <c r="C7" t="s">
        <v>91</v>
      </c>
      <c r="D7">
        <v>121.47</v>
      </c>
      <c r="E7">
        <v>31.23</v>
      </c>
      <c r="F7" t="s">
        <v>79</v>
      </c>
      <c r="G7" t="s">
        <v>79</v>
      </c>
      <c r="H7" t="s">
        <v>79</v>
      </c>
    </row>
    <row r="8" spans="1:8" x14ac:dyDescent="0.2">
      <c r="A8" t="s">
        <v>92</v>
      </c>
      <c r="B8" t="s">
        <v>90</v>
      </c>
      <c r="C8" t="s">
        <v>93</v>
      </c>
      <c r="D8">
        <v>104.07</v>
      </c>
      <c r="E8">
        <v>30.67</v>
      </c>
      <c r="F8" t="s">
        <v>79</v>
      </c>
      <c r="G8" t="s">
        <v>79</v>
      </c>
      <c r="H8" t="s">
        <v>79</v>
      </c>
    </row>
    <row r="9" spans="1:8" x14ac:dyDescent="0.2">
      <c r="A9" t="s">
        <v>94</v>
      </c>
      <c r="B9" t="s">
        <v>90</v>
      </c>
      <c r="C9" t="s">
        <v>95</v>
      </c>
      <c r="D9">
        <v>114.06</v>
      </c>
      <c r="E9">
        <v>22.55</v>
      </c>
      <c r="F9" t="s">
        <v>79</v>
      </c>
      <c r="G9" t="s">
        <v>79</v>
      </c>
      <c r="H9" t="s">
        <v>79</v>
      </c>
    </row>
    <row r="10" spans="1:8" x14ac:dyDescent="0.2">
      <c r="A10" t="s">
        <v>96</v>
      </c>
      <c r="B10" t="s">
        <v>97</v>
      </c>
      <c r="C10" t="s">
        <v>98</v>
      </c>
      <c r="D10">
        <v>121</v>
      </c>
      <c r="E10">
        <v>31</v>
      </c>
      <c r="F10" t="s">
        <v>79</v>
      </c>
      <c r="G10" t="s">
        <v>79</v>
      </c>
      <c r="H10" t="s">
        <v>79</v>
      </c>
    </row>
    <row r="11" spans="1:8" x14ac:dyDescent="0.2">
      <c r="A11" t="s">
        <v>99</v>
      </c>
      <c r="B11" t="s">
        <v>97</v>
      </c>
      <c r="C11" t="s">
        <v>100</v>
      </c>
      <c r="D11">
        <v>113.5</v>
      </c>
      <c r="E11">
        <v>23</v>
      </c>
      <c r="F11" t="s">
        <v>79</v>
      </c>
      <c r="G11" t="s">
        <v>79</v>
      </c>
      <c r="H11" t="s">
        <v>79</v>
      </c>
    </row>
    <row r="12" spans="1:8" x14ac:dyDescent="0.2">
      <c r="A12" t="s">
        <v>101</v>
      </c>
      <c r="B12" t="s">
        <v>97</v>
      </c>
      <c r="C12" t="s">
        <v>102</v>
      </c>
      <c r="D12">
        <v>104</v>
      </c>
      <c r="E12">
        <v>30.5</v>
      </c>
      <c r="F12" t="s">
        <v>79</v>
      </c>
      <c r="G12" t="s">
        <v>79</v>
      </c>
      <c r="H12" t="s">
        <v>79</v>
      </c>
    </row>
    <row r="13" spans="1:8" x14ac:dyDescent="0.2">
      <c r="A13" t="s">
        <v>103</v>
      </c>
      <c r="B13" t="s">
        <v>97</v>
      </c>
      <c r="C13" t="s">
        <v>104</v>
      </c>
      <c r="D13">
        <v>116.4</v>
      </c>
      <c r="E13">
        <v>39.9</v>
      </c>
      <c r="F13" t="s">
        <v>79</v>
      </c>
      <c r="G13" t="s">
        <v>79</v>
      </c>
      <c r="H13" t="s">
        <v>79</v>
      </c>
    </row>
    <row r="14" spans="1:8" x14ac:dyDescent="0.2">
      <c r="A14" t="s">
        <v>105</v>
      </c>
      <c r="B14" t="s">
        <v>97</v>
      </c>
      <c r="C14" t="s">
        <v>106</v>
      </c>
      <c r="D14">
        <v>114.3</v>
      </c>
      <c r="E14">
        <v>30.6</v>
      </c>
      <c r="F14" t="s">
        <v>79</v>
      </c>
      <c r="G14" t="s">
        <v>79</v>
      </c>
      <c r="H14" t="s">
        <v>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2"/>
  <sheetViews>
    <sheetView workbookViewId="0"/>
  </sheetViews>
  <sheetFormatPr baseColWidth="10" defaultColWidth="8.83203125" defaultRowHeight="15" x14ac:dyDescent="0.2"/>
  <cols>
    <col min="1" max="1" width="23" customWidth="1"/>
    <col min="2" max="2" width="18" customWidth="1"/>
    <col min="3" max="4" width="14" customWidth="1"/>
    <col min="5" max="5" width="13" customWidth="1"/>
    <col min="6" max="6" width="20" customWidth="1"/>
    <col min="7" max="7" width="15" customWidth="1"/>
  </cols>
  <sheetData>
    <row r="1" spans="1: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</row>
    <row r="2" spans="1:7" x14ac:dyDescent="0.2">
      <c r="A2" t="s">
        <v>114</v>
      </c>
      <c r="B2" t="s">
        <v>115</v>
      </c>
      <c r="C2" t="s">
        <v>80</v>
      </c>
      <c r="D2" t="s">
        <v>45</v>
      </c>
      <c r="E2" t="s">
        <v>116</v>
      </c>
      <c r="F2">
        <v>500000</v>
      </c>
      <c r="G2">
        <v>0</v>
      </c>
    </row>
    <row r="3" spans="1:7" x14ac:dyDescent="0.2">
      <c r="A3" t="s">
        <v>114</v>
      </c>
      <c r="B3" t="s">
        <v>117</v>
      </c>
      <c r="C3" t="s">
        <v>45</v>
      </c>
      <c r="D3" t="s">
        <v>89</v>
      </c>
      <c r="E3" t="s">
        <v>116</v>
      </c>
      <c r="F3">
        <v>300000</v>
      </c>
      <c r="G3">
        <v>105.8</v>
      </c>
    </row>
    <row r="4" spans="1:7" x14ac:dyDescent="0.2">
      <c r="A4" t="s">
        <v>114</v>
      </c>
      <c r="B4" t="s">
        <v>117</v>
      </c>
      <c r="C4" t="s">
        <v>45</v>
      </c>
      <c r="D4" t="s">
        <v>92</v>
      </c>
      <c r="E4" t="s">
        <v>118</v>
      </c>
      <c r="F4">
        <v>88165.6</v>
      </c>
      <c r="G4">
        <v>1893.2</v>
      </c>
    </row>
    <row r="5" spans="1:7" x14ac:dyDescent="0.2">
      <c r="A5" t="s">
        <v>114</v>
      </c>
      <c r="B5" t="s">
        <v>117</v>
      </c>
      <c r="C5" t="s">
        <v>45</v>
      </c>
      <c r="D5" t="s">
        <v>94</v>
      </c>
      <c r="E5" t="s">
        <v>118</v>
      </c>
      <c r="F5">
        <v>111834.4</v>
      </c>
      <c r="G5">
        <v>1405.8</v>
      </c>
    </row>
    <row r="6" spans="1:7" x14ac:dyDescent="0.2">
      <c r="A6" t="s">
        <v>114</v>
      </c>
      <c r="B6" t="s">
        <v>119</v>
      </c>
      <c r="C6" t="s">
        <v>89</v>
      </c>
      <c r="D6" t="s">
        <v>96</v>
      </c>
      <c r="E6" t="s">
        <v>116</v>
      </c>
      <c r="F6">
        <v>102916.66</v>
      </c>
      <c r="G6">
        <v>67</v>
      </c>
    </row>
    <row r="7" spans="1:7" x14ac:dyDescent="0.2">
      <c r="A7" t="s">
        <v>114</v>
      </c>
      <c r="B7" t="s">
        <v>119</v>
      </c>
      <c r="C7" t="s">
        <v>89</v>
      </c>
      <c r="D7" t="s">
        <v>103</v>
      </c>
      <c r="E7" t="s">
        <v>118</v>
      </c>
      <c r="F7">
        <v>91707.49</v>
      </c>
      <c r="G7">
        <v>1280.5</v>
      </c>
    </row>
    <row r="8" spans="1:7" x14ac:dyDescent="0.2">
      <c r="A8" t="s">
        <v>114</v>
      </c>
      <c r="B8" t="s">
        <v>119</v>
      </c>
      <c r="C8" t="s">
        <v>89</v>
      </c>
      <c r="D8" t="s">
        <v>105</v>
      </c>
      <c r="E8" t="s">
        <v>116</v>
      </c>
      <c r="F8">
        <v>105375.85</v>
      </c>
      <c r="G8">
        <v>893.7</v>
      </c>
    </row>
    <row r="9" spans="1:7" x14ac:dyDescent="0.2">
      <c r="A9" t="s">
        <v>114</v>
      </c>
      <c r="B9" t="s">
        <v>119</v>
      </c>
      <c r="C9" t="s">
        <v>92</v>
      </c>
      <c r="D9" t="s">
        <v>101</v>
      </c>
      <c r="E9" t="s">
        <v>116</v>
      </c>
      <c r="F9">
        <v>88165.6</v>
      </c>
      <c r="G9">
        <v>26.1</v>
      </c>
    </row>
    <row r="10" spans="1:7" x14ac:dyDescent="0.2">
      <c r="A10" t="s">
        <v>114</v>
      </c>
      <c r="B10" t="s">
        <v>119</v>
      </c>
      <c r="C10" t="s">
        <v>94</v>
      </c>
      <c r="D10" t="s">
        <v>99</v>
      </c>
      <c r="E10" t="s">
        <v>116</v>
      </c>
      <c r="F10">
        <v>99619.24</v>
      </c>
      <c r="G10">
        <v>99</v>
      </c>
    </row>
    <row r="11" spans="1:7" x14ac:dyDescent="0.2">
      <c r="A11" t="s">
        <v>114</v>
      </c>
      <c r="B11" t="s">
        <v>119</v>
      </c>
      <c r="C11" t="s">
        <v>94</v>
      </c>
      <c r="D11" t="s">
        <v>105</v>
      </c>
      <c r="E11" t="s">
        <v>116</v>
      </c>
      <c r="F11">
        <v>12215.17</v>
      </c>
      <c r="G11">
        <v>1164.0999999999999</v>
      </c>
    </row>
    <row r="12" spans="1:7" x14ac:dyDescent="0.2">
      <c r="A12" t="s">
        <v>120</v>
      </c>
      <c r="B12" t="s">
        <v>115</v>
      </c>
      <c r="C12" t="s">
        <v>80</v>
      </c>
      <c r="D12" t="s">
        <v>45</v>
      </c>
      <c r="E12" t="s">
        <v>116</v>
      </c>
      <c r="F12">
        <v>500000</v>
      </c>
      <c r="G12">
        <v>0</v>
      </c>
    </row>
    <row r="13" spans="1:7" x14ac:dyDescent="0.2">
      <c r="A13" t="s">
        <v>120</v>
      </c>
      <c r="B13" t="s">
        <v>117</v>
      </c>
      <c r="C13" t="s">
        <v>45</v>
      </c>
      <c r="D13" t="s">
        <v>89</v>
      </c>
      <c r="E13" t="s">
        <v>116</v>
      </c>
      <c r="F13">
        <v>300000</v>
      </c>
      <c r="G13">
        <v>105.8</v>
      </c>
    </row>
    <row r="14" spans="1:7" x14ac:dyDescent="0.2">
      <c r="A14" t="s">
        <v>120</v>
      </c>
      <c r="B14" t="s">
        <v>117</v>
      </c>
      <c r="C14" t="s">
        <v>45</v>
      </c>
      <c r="D14" t="s">
        <v>92</v>
      </c>
      <c r="E14" t="s">
        <v>118</v>
      </c>
      <c r="F14">
        <v>88165.6</v>
      </c>
      <c r="G14">
        <v>1893.2</v>
      </c>
    </row>
    <row r="15" spans="1:7" x14ac:dyDescent="0.2">
      <c r="A15" t="s">
        <v>120</v>
      </c>
      <c r="B15" t="s">
        <v>117</v>
      </c>
      <c r="C15" t="s">
        <v>45</v>
      </c>
      <c r="D15" t="s">
        <v>94</v>
      </c>
      <c r="E15" t="s">
        <v>118</v>
      </c>
      <c r="F15">
        <v>111834.4</v>
      </c>
      <c r="G15">
        <v>1405.8</v>
      </c>
    </row>
    <row r="16" spans="1:7" x14ac:dyDescent="0.2">
      <c r="A16" t="s">
        <v>120</v>
      </c>
      <c r="B16" t="s">
        <v>119</v>
      </c>
      <c r="C16" t="s">
        <v>89</v>
      </c>
      <c r="D16" t="s">
        <v>96</v>
      </c>
      <c r="E16" t="s">
        <v>116</v>
      </c>
      <c r="F16">
        <v>102916.66</v>
      </c>
      <c r="G16">
        <v>67</v>
      </c>
    </row>
    <row r="17" spans="1:7" x14ac:dyDescent="0.2">
      <c r="A17" t="s">
        <v>120</v>
      </c>
      <c r="B17" t="s">
        <v>119</v>
      </c>
      <c r="C17" t="s">
        <v>89</v>
      </c>
      <c r="D17" t="s">
        <v>103</v>
      </c>
      <c r="E17" t="s">
        <v>118</v>
      </c>
      <c r="F17">
        <v>91707.49</v>
      </c>
      <c r="G17">
        <v>1280.5</v>
      </c>
    </row>
    <row r="18" spans="1:7" x14ac:dyDescent="0.2">
      <c r="A18" t="s">
        <v>120</v>
      </c>
      <c r="B18" t="s">
        <v>119</v>
      </c>
      <c r="C18" t="s">
        <v>89</v>
      </c>
      <c r="D18" t="s">
        <v>105</v>
      </c>
      <c r="E18" t="s">
        <v>118</v>
      </c>
      <c r="F18">
        <v>105375.85</v>
      </c>
      <c r="G18">
        <v>824.9</v>
      </c>
    </row>
    <row r="19" spans="1:7" x14ac:dyDescent="0.2">
      <c r="A19" t="s">
        <v>120</v>
      </c>
      <c r="B19" t="s">
        <v>119</v>
      </c>
      <c r="C19" t="s">
        <v>92</v>
      </c>
      <c r="D19" t="s">
        <v>101</v>
      </c>
      <c r="E19" t="s">
        <v>116</v>
      </c>
      <c r="F19">
        <v>88165.6</v>
      </c>
      <c r="G19">
        <v>26.1</v>
      </c>
    </row>
    <row r="20" spans="1:7" x14ac:dyDescent="0.2">
      <c r="A20" t="s">
        <v>120</v>
      </c>
      <c r="B20" t="s">
        <v>119</v>
      </c>
      <c r="C20" t="s">
        <v>94</v>
      </c>
      <c r="D20" t="s">
        <v>99</v>
      </c>
      <c r="E20" t="s">
        <v>116</v>
      </c>
      <c r="F20">
        <v>99619.24</v>
      </c>
      <c r="G20">
        <v>99</v>
      </c>
    </row>
    <row r="21" spans="1:7" x14ac:dyDescent="0.2">
      <c r="A21" t="s">
        <v>120</v>
      </c>
      <c r="B21" t="s">
        <v>119</v>
      </c>
      <c r="C21" t="s">
        <v>94</v>
      </c>
      <c r="D21" t="s">
        <v>105</v>
      </c>
      <c r="E21" t="s">
        <v>116</v>
      </c>
      <c r="F21">
        <v>12215.17</v>
      </c>
      <c r="G21">
        <v>1164.0999999999999</v>
      </c>
    </row>
    <row r="22" spans="1:7" x14ac:dyDescent="0.2">
      <c r="A22" t="s">
        <v>121</v>
      </c>
      <c r="B22" t="s">
        <v>115</v>
      </c>
      <c r="C22" t="s">
        <v>76</v>
      </c>
      <c r="D22" t="s">
        <v>86</v>
      </c>
      <c r="E22" t="s">
        <v>118</v>
      </c>
      <c r="F22">
        <v>88165.6</v>
      </c>
      <c r="G22">
        <v>1174.9000000000001</v>
      </c>
    </row>
    <row r="23" spans="1:7" x14ac:dyDescent="0.2">
      <c r="A23" t="s">
        <v>121</v>
      </c>
      <c r="B23" t="s">
        <v>115</v>
      </c>
      <c r="C23" t="s">
        <v>80</v>
      </c>
      <c r="D23" t="s">
        <v>45</v>
      </c>
      <c r="E23" t="s">
        <v>116</v>
      </c>
      <c r="F23">
        <v>411834.4</v>
      </c>
      <c r="G23">
        <v>0</v>
      </c>
    </row>
    <row r="24" spans="1:7" x14ac:dyDescent="0.2">
      <c r="A24" t="s">
        <v>121</v>
      </c>
      <c r="B24" t="s">
        <v>117</v>
      </c>
      <c r="C24" t="s">
        <v>45</v>
      </c>
      <c r="D24" t="s">
        <v>89</v>
      </c>
      <c r="E24" t="s">
        <v>122</v>
      </c>
      <c r="F24">
        <v>300000</v>
      </c>
      <c r="G24">
        <v>105.8</v>
      </c>
    </row>
    <row r="25" spans="1:7" x14ac:dyDescent="0.2">
      <c r="A25" t="s">
        <v>121</v>
      </c>
      <c r="B25" t="s">
        <v>117</v>
      </c>
      <c r="C25" t="s">
        <v>45</v>
      </c>
      <c r="D25" t="s">
        <v>94</v>
      </c>
      <c r="E25" t="s">
        <v>118</v>
      </c>
      <c r="F25">
        <v>111834.4</v>
      </c>
      <c r="G25">
        <v>1405.8</v>
      </c>
    </row>
    <row r="26" spans="1:7" x14ac:dyDescent="0.2">
      <c r="A26" t="s">
        <v>121</v>
      </c>
      <c r="B26" t="s">
        <v>117</v>
      </c>
      <c r="C26" t="s">
        <v>86</v>
      </c>
      <c r="D26" t="s">
        <v>92</v>
      </c>
      <c r="E26" t="s">
        <v>122</v>
      </c>
      <c r="F26">
        <v>88165.6</v>
      </c>
      <c r="G26">
        <v>349.1</v>
      </c>
    </row>
    <row r="27" spans="1:7" x14ac:dyDescent="0.2">
      <c r="A27" t="s">
        <v>121</v>
      </c>
      <c r="B27" t="s">
        <v>119</v>
      </c>
      <c r="C27" t="s">
        <v>89</v>
      </c>
      <c r="D27" t="s">
        <v>96</v>
      </c>
      <c r="E27" t="s">
        <v>122</v>
      </c>
      <c r="F27">
        <v>102916.66</v>
      </c>
      <c r="G27">
        <v>67</v>
      </c>
    </row>
    <row r="28" spans="1:7" x14ac:dyDescent="0.2">
      <c r="A28" t="s">
        <v>121</v>
      </c>
      <c r="B28" t="s">
        <v>119</v>
      </c>
      <c r="C28" t="s">
        <v>89</v>
      </c>
      <c r="D28" t="s">
        <v>103</v>
      </c>
      <c r="E28" t="s">
        <v>118</v>
      </c>
      <c r="F28">
        <v>91707.49</v>
      </c>
      <c r="G28">
        <v>1280.5</v>
      </c>
    </row>
    <row r="29" spans="1:7" x14ac:dyDescent="0.2">
      <c r="A29" t="s">
        <v>121</v>
      </c>
      <c r="B29" t="s">
        <v>119</v>
      </c>
      <c r="C29" t="s">
        <v>89</v>
      </c>
      <c r="D29" t="s">
        <v>105</v>
      </c>
      <c r="E29" t="s">
        <v>118</v>
      </c>
      <c r="F29">
        <v>105375.85</v>
      </c>
      <c r="G29">
        <v>824.9</v>
      </c>
    </row>
    <row r="30" spans="1:7" x14ac:dyDescent="0.2">
      <c r="A30" t="s">
        <v>121</v>
      </c>
      <c r="B30" t="s">
        <v>119</v>
      </c>
      <c r="C30" t="s">
        <v>92</v>
      </c>
      <c r="D30" t="s">
        <v>101</v>
      </c>
      <c r="E30" t="s">
        <v>122</v>
      </c>
      <c r="F30">
        <v>88165.6</v>
      </c>
      <c r="G30">
        <v>26.1</v>
      </c>
    </row>
    <row r="31" spans="1:7" x14ac:dyDescent="0.2">
      <c r="A31" t="s">
        <v>121</v>
      </c>
      <c r="B31" t="s">
        <v>119</v>
      </c>
      <c r="C31" t="s">
        <v>94</v>
      </c>
      <c r="D31" t="s">
        <v>99</v>
      </c>
      <c r="E31" t="s">
        <v>122</v>
      </c>
      <c r="F31">
        <v>99619.24</v>
      </c>
      <c r="G31">
        <v>99</v>
      </c>
    </row>
    <row r="32" spans="1:7" x14ac:dyDescent="0.2">
      <c r="A32" t="s">
        <v>121</v>
      </c>
      <c r="B32" t="s">
        <v>119</v>
      </c>
      <c r="C32" t="s">
        <v>94</v>
      </c>
      <c r="D32" t="s">
        <v>105</v>
      </c>
      <c r="E32" t="s">
        <v>116</v>
      </c>
      <c r="F32">
        <v>12215.17</v>
      </c>
      <c r="G32">
        <v>1164.0999999999999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5"/>
  <sheetViews>
    <sheetView workbookViewId="0"/>
  </sheetViews>
  <sheetFormatPr baseColWidth="10" defaultColWidth="8.83203125" defaultRowHeight="15" x14ac:dyDescent="0.2"/>
  <cols>
    <col min="1" max="1" width="30" customWidth="1"/>
    <col min="2" max="2" width="8" customWidth="1"/>
    <col min="3" max="3" width="10" customWidth="1"/>
    <col min="4" max="4" width="40" customWidth="1"/>
  </cols>
  <sheetData>
    <row r="1" spans="1:4" x14ac:dyDescent="0.2">
      <c r="A1" s="8" t="s">
        <v>123</v>
      </c>
      <c r="B1" s="8" t="s">
        <v>124</v>
      </c>
      <c r="C1" s="8" t="s">
        <v>125</v>
      </c>
      <c r="D1" s="8" t="s">
        <v>126</v>
      </c>
    </row>
    <row r="2" spans="1:4" x14ac:dyDescent="0.2">
      <c r="A2" t="s">
        <v>127</v>
      </c>
      <c r="B2">
        <v>500000</v>
      </c>
      <c r="C2" t="s">
        <v>128</v>
      </c>
    </row>
    <row r="3" spans="1:4" x14ac:dyDescent="0.2">
      <c r="A3" t="s">
        <v>129</v>
      </c>
      <c r="B3">
        <v>600000</v>
      </c>
      <c r="C3" t="s">
        <v>128</v>
      </c>
    </row>
    <row r="4" spans="1:4" x14ac:dyDescent="0.2">
      <c r="A4" t="s">
        <v>130</v>
      </c>
      <c r="B4">
        <v>300000</v>
      </c>
      <c r="C4" t="s">
        <v>128</v>
      </c>
    </row>
    <row r="5" spans="1:4" x14ac:dyDescent="0.2">
      <c r="A5" t="s">
        <v>131</v>
      </c>
      <c r="B5">
        <v>0.3</v>
      </c>
      <c r="C5" t="s">
        <v>132</v>
      </c>
      <c r="D5" t="s">
        <v>133</v>
      </c>
    </row>
    <row r="6" spans="1:4" x14ac:dyDescent="0.2">
      <c r="A6" t="s">
        <v>134</v>
      </c>
      <c r="B6">
        <v>0.5</v>
      </c>
      <c r="C6" t="s">
        <v>132</v>
      </c>
    </row>
    <row r="7" spans="1:4" x14ac:dyDescent="0.2">
      <c r="A7" t="s">
        <v>135</v>
      </c>
      <c r="B7">
        <v>0.55000000000000004</v>
      </c>
      <c r="C7" t="s">
        <v>132</v>
      </c>
    </row>
    <row r="8" spans="1:4" x14ac:dyDescent="0.2">
      <c r="A8" t="s">
        <v>136</v>
      </c>
      <c r="B8">
        <v>200</v>
      </c>
      <c r="C8" t="s">
        <v>137</v>
      </c>
      <c r="D8" t="s">
        <v>138</v>
      </c>
    </row>
    <row r="9" spans="1:4" x14ac:dyDescent="0.2">
      <c r="A9" t="s">
        <v>139</v>
      </c>
      <c r="B9">
        <v>500</v>
      </c>
      <c r="C9" t="s">
        <v>140</v>
      </c>
    </row>
    <row r="10" spans="1:4" x14ac:dyDescent="0.2">
      <c r="A10" t="s">
        <v>141</v>
      </c>
      <c r="B10">
        <v>500</v>
      </c>
      <c r="C10" t="s">
        <v>140</v>
      </c>
    </row>
    <row r="11" spans="1:4" x14ac:dyDescent="0.2">
      <c r="A11" t="s">
        <v>142</v>
      </c>
      <c r="B11">
        <v>62</v>
      </c>
      <c r="C11" t="s">
        <v>143</v>
      </c>
      <c r="D11" t="s">
        <v>144</v>
      </c>
    </row>
    <row r="12" spans="1:4" x14ac:dyDescent="0.2">
      <c r="A12" t="s">
        <v>145</v>
      </c>
      <c r="B12">
        <v>22</v>
      </c>
      <c r="C12" t="s">
        <v>143</v>
      </c>
      <c r="D12" t="s">
        <v>144</v>
      </c>
    </row>
    <row r="13" spans="1:4" x14ac:dyDescent="0.2">
      <c r="A13" t="s">
        <v>146</v>
      </c>
      <c r="B13">
        <v>35</v>
      </c>
      <c r="C13" t="s">
        <v>143</v>
      </c>
      <c r="D13" t="s">
        <v>147</v>
      </c>
    </row>
    <row r="14" spans="1:4" x14ac:dyDescent="0.2">
      <c r="A14" t="s">
        <v>148</v>
      </c>
      <c r="B14">
        <v>25</v>
      </c>
      <c r="C14" t="s">
        <v>149</v>
      </c>
    </row>
    <row r="15" spans="1:4" x14ac:dyDescent="0.2">
      <c r="A15" t="s">
        <v>150</v>
      </c>
      <c r="B15">
        <v>1000</v>
      </c>
      <c r="C15" t="s">
        <v>149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"/>
  <sheetViews>
    <sheetView workbookViewId="0"/>
  </sheetViews>
  <sheetFormatPr baseColWidth="10" defaultColWidth="8.83203125" defaultRowHeight="15" x14ac:dyDescent="0.2"/>
  <cols>
    <col min="1" max="1" width="7" customWidth="1"/>
    <col min="2" max="2" width="25" customWidth="1"/>
    <col min="3" max="3" width="34" customWidth="1"/>
  </cols>
  <sheetData>
    <row r="1" spans="1:3" x14ac:dyDescent="0.2">
      <c r="A1" s="8" t="s">
        <v>51</v>
      </c>
      <c r="B1" s="8" t="s">
        <v>34</v>
      </c>
      <c r="C1" s="8" t="s">
        <v>151</v>
      </c>
    </row>
    <row r="2" spans="1:3" x14ac:dyDescent="0.2">
      <c r="A2">
        <v>1</v>
      </c>
      <c r="B2">
        <v>25</v>
      </c>
      <c r="C2" t="s">
        <v>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Cover</vt:lpstr>
      <vt:lpstr>Summary</vt:lpstr>
      <vt:lpstr>Pareto frontier</vt:lpstr>
      <vt:lpstr>Carbon price sweep</vt:lpstr>
      <vt:lpstr>Network nodes</vt:lpstr>
      <vt:lpstr>Network flows</vt:lpstr>
      <vt:lpstr>Parameters</vt:lpstr>
      <vt:lpstr>Thresholds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Kühne</cp:lastModifiedBy>
  <dcterms:created xsi:type="dcterms:W3CDTF">2026-06-10T01:43:32Z</dcterms:created>
  <dcterms:modified xsi:type="dcterms:W3CDTF">2026-06-10T07:39:44Z</dcterms:modified>
</cp:coreProperties>
</file>